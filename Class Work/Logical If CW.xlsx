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Works\"/>
    </mc:Choice>
  </mc:AlternateContent>
  <xr:revisionPtr revIDLastSave="0" documentId="8_{8FD28E74-6E68-4F11-9130-875E34AD6571}" xr6:coauthVersionLast="47" xr6:coauthVersionMax="47" xr10:uidLastSave="{00000000-0000-0000-0000-000000000000}"/>
  <bookViews>
    <workbookView xWindow="-110" yWindow="-110" windowWidth="19420" windowHeight="10300" xr2:uid="{0040A250-8AA8-46C4-82D4-63E22AE7C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<sst xmlns="http://schemas.openxmlformats.org/spreadsheetml/2006/main" count="43" uniqueCount="25">
  <si>
    <t>OrderID</t>
  </si>
  <si>
    <t>Region</t>
  </si>
  <si>
    <t>Category</t>
  </si>
  <si>
    <t>Sales</t>
  </si>
  <si>
    <t>Quantity</t>
  </si>
  <si>
    <t>Month</t>
  </si>
  <si>
    <t>East</t>
  </si>
  <si>
    <t>Electronics</t>
  </si>
  <si>
    <t>Jan</t>
  </si>
  <si>
    <t>West</t>
  </si>
  <si>
    <t>Furniture</t>
  </si>
  <si>
    <t>Feb</t>
  </si>
  <si>
    <t>South</t>
  </si>
  <si>
    <t>Clothing</t>
  </si>
  <si>
    <t>North</t>
  </si>
  <si>
    <t>Mar</t>
  </si>
  <si>
    <t>Apr</t>
  </si>
  <si>
    <t>May</t>
  </si>
  <si>
    <t>Total Sales</t>
  </si>
  <si>
    <t>Sale Where Region=East</t>
  </si>
  <si>
    <t>Sales Where Category=Electronics</t>
  </si>
  <si>
    <t>Sales where Region=East , Category=Electronics</t>
  </si>
  <si>
    <t>Sales for month jan</t>
  </si>
  <si>
    <t>Total Quantity of Elrctronics</t>
  </si>
  <si>
    <t>Ouantity of Category Electronics,Region=East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</si>
</sst>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56E3-B01D-4980-B989-5F96C8F794AE}">
  <dimension ref="A1:J11"/>
  <sheetViews>
    <sheetView tabSelected="1" workbookViewId="0">
      <selection activeCell="I13" sqref="I13"/>
    </sheetView>
  </sheetViews>
  <sheetFormatPr defaultRowHeight="14.5" x14ac:dyDescent="0.35"/>
  <cols>
    <col min="9" max="9" width="40.54296875" bestFit="1" customWidth="1"/>
    <col min="10" max="10" width="6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2">
        <v>101</v>
      </c>
      <c r="B2" s="2" t="s">
        <v>6</v>
      </c>
      <c r="C2" s="2" t="s">
        <v>7</v>
      </c>
      <c r="D2" s="2">
        <v>25000</v>
      </c>
      <c r="E2" s="2">
        <v>5</v>
      </c>
      <c r="F2" s="2" t="s">
        <v>8</v>
      </c>
      <c r="H2" s="3">
        <v>1</v>
      </c>
      <c r="I2" s="4" t="s">
        <v>18</v>
      </c>
      <c r="J2" s="4">
        <f>SUM(D2:D11)</f>
        <v>226000</v>
      </c>
    </row>
    <row r="3" spans="1:10" x14ac:dyDescent="0.35">
      <c r="A3" s="2">
        <v>102</v>
      </c>
      <c r="B3" s="2" t="s">
        <v>9</v>
      </c>
      <c r="C3" s="2" t="s">
        <v>10</v>
      </c>
      <c r="D3" s="2">
        <v>18000</v>
      </c>
      <c r="E3" s="2">
        <v>3</v>
      </c>
      <c r="F3" s="2" t="s">
        <v>8</v>
      </c>
      <c r="H3" s="3">
        <v>2</v>
      </c>
      <c r="I3" s="4" t="s">
        <v>19</v>
      </c>
      <c r="J3" s="4">
        <f>SUMIF(B2:B11,"=East",D2:D11)</f>
        <v>94000</v>
      </c>
    </row>
    <row r="4" spans="1:10" x14ac:dyDescent="0.35">
      <c r="A4" s="2">
        <v>103</v>
      </c>
      <c r="B4" s="2" t="s">
        <v>6</v>
      </c>
      <c r="C4" s="2" t="s">
        <v>7</v>
      </c>
      <c r="D4" s="2">
        <v>30000</v>
      </c>
      <c r="E4" s="2">
        <v>6</v>
      </c>
      <c r="F4" s="2" t="s">
        <v>11</v>
      </c>
      <c r="H4" s="3">
        <v>3</v>
      </c>
      <c r="I4" s="4" t="s">
        <v>20</v>
      </c>
      <c r="J4" s="4">
        <f>SUMIF(C2:C11,"=Electronics",D2:D11)</f>
        <v>115000</v>
      </c>
    </row>
    <row r="5" spans="1:10" x14ac:dyDescent="0.35">
      <c r="A5" s="2">
        <v>104</v>
      </c>
      <c r="B5" s="2" t="s">
        <v>12</v>
      </c>
      <c r="C5" s="2" t="s">
        <v>13</v>
      </c>
      <c r="D5" s="2">
        <v>12000</v>
      </c>
      <c r="E5" s="2">
        <v>4</v>
      </c>
      <c r="F5" s="2" t="s">
        <v>11</v>
      </c>
      <c r="H5" s="3">
        <v>4</v>
      </c>
      <c r="I5" s="4" t="s">
        <v>21</v>
      </c>
      <c r="J5" s="4">
        <f>SUMIFS(D2:D11,B2:B11,"=East",C2:C11,"=Electronics")</f>
        <v>55000</v>
      </c>
    </row>
    <row r="6" spans="1:10" x14ac:dyDescent="0.35">
      <c r="A6" s="2">
        <v>105</v>
      </c>
      <c r="B6" s="2" t="s">
        <v>14</v>
      </c>
      <c r="C6" s="2" t="s">
        <v>10</v>
      </c>
      <c r="D6" s="2">
        <v>22000</v>
      </c>
      <c r="E6" s="2">
        <v>5</v>
      </c>
      <c r="F6" s="2" t="s">
        <v>15</v>
      </c>
      <c r="H6" s="3">
        <v>5</v>
      </c>
      <c r="I6" s="4" t="s">
        <v>22</v>
      </c>
      <c r="J6" s="4">
        <f>SUMIF(F2:F11,"=Jan",D2:D11)</f>
        <v>43000</v>
      </c>
    </row>
    <row r="7" spans="1:10" x14ac:dyDescent="0.35">
      <c r="A7" s="2">
        <v>106</v>
      </c>
      <c r="B7" s="2" t="s">
        <v>6</v>
      </c>
      <c r="C7" s="2" t="s">
        <v>13</v>
      </c>
      <c r="D7" s="2">
        <v>15000</v>
      </c>
      <c r="E7" s="2">
        <v>3</v>
      </c>
      <c r="F7" s="2" t="s">
        <v>15</v>
      </c>
      <c r="H7" s="3">
        <v>6</v>
      </c>
      <c r="I7" s="4" t="s">
        <v>23</v>
      </c>
      <c r="J7" s="4">
        <f>SUMIF(C2:C11,"=Electronics",E2:E11)</f>
        <v>26</v>
      </c>
    </row>
    <row r="8" spans="1:10" x14ac:dyDescent="0.35">
      <c r="A8" s="2">
        <v>107</v>
      </c>
      <c r="B8" s="2" t="s">
        <v>9</v>
      </c>
      <c r="C8" s="2" t="s">
        <v>7</v>
      </c>
      <c r="D8" s="2">
        <v>28000</v>
      </c>
      <c r="E8" s="2">
        <v>7</v>
      </c>
      <c r="F8" s="2" t="s">
        <v>16</v>
      </c>
      <c r="H8" s="3">
        <v>7</v>
      </c>
      <c r="I8" s="4" t="s">
        <v>24</v>
      </c>
      <c r="J8" s="4">
        <f>SUMIFS(E2:E11,C2:C11,"=Electronics",B2:B11,"=East")</f>
        <v>11</v>
      </c>
    </row>
    <row r="9" spans="1:10" x14ac:dyDescent="0.35">
      <c r="A9" s="2">
        <v>108</v>
      </c>
      <c r="B9" s="2" t="s">
        <v>12</v>
      </c>
      <c r="C9" s="2" t="s">
        <v>10</v>
      </c>
      <c r="D9" s="2">
        <v>20000</v>
      </c>
      <c r="E9" s="2">
        <v>4</v>
      </c>
      <c r="F9" s="2" t="s">
        <v>16</v>
      </c>
    </row>
    <row r="10" spans="1:10" x14ac:dyDescent="0.35">
      <c r="A10" s="2">
        <v>109</v>
      </c>
      <c r="B10" s="2" t="s">
        <v>14</v>
      </c>
      <c r="C10" s="2" t="s">
        <v>7</v>
      </c>
      <c r="D10" s="2">
        <v>32000</v>
      </c>
      <c r="E10" s="2">
        <v>8</v>
      </c>
      <c r="F10" s="2" t="s">
        <v>17</v>
      </c>
    </row>
    <row r="11" spans="1:10" x14ac:dyDescent="0.35">
      <c r="A11" s="2">
        <v>110</v>
      </c>
      <c r="B11" s="2" t="s">
        <v>6</v>
      </c>
      <c r="C11" s="2" t="s">
        <v>10</v>
      </c>
      <c r="D11" s="2">
        <v>24000</v>
      </c>
      <c r="E11" s="2">
        <v>6</v>
      </c>
      <c r="F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 Mondal</dc:creator>
  <cp:lastModifiedBy>Anwesha Mondal</cp:lastModifiedBy>
  <dcterms:created xsi:type="dcterms:W3CDTF">2026-01-10T13:29:10Z</dcterms:created>
  <dcterms:modified xsi:type="dcterms:W3CDTF">2026-01-10T13:30:34Z</dcterms:modified>
</cp:coreProperties>
</file>