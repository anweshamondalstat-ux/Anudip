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13_ncr:1_{C0DFF470-F4FB-45A4-8F88-0C0C0BEDBF6C}" xr6:coauthVersionLast="47" xr6:coauthVersionMax="47" xr10:uidLastSave="{00000000-0000-0000-0000-000000000000}"/>
  <bookViews>
    <workbookView xWindow="-110" yWindow="-110" windowWidth="19420" windowHeight="10300" activeTab="1" xr2:uid="{6EA45879-14F1-4EBE-AB11-5F25C44150A7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2" l="1"/>
  <c r="I33" i="2"/>
  <c r="I34" i="2"/>
  <c r="I35" i="2"/>
  <c r="I36" i="2"/>
  <c r="I37" i="2"/>
  <c r="I31" i="2"/>
  <c r="H31" i="2"/>
  <c r="H37" i="2"/>
  <c r="H32" i="2"/>
  <c r="H33" i="2"/>
  <c r="H34" i="2"/>
  <c r="H35" i="2"/>
  <c r="H36" i="2"/>
  <c r="H18" i="2"/>
  <c r="H13" i="2"/>
  <c r="H14" i="2"/>
  <c r="H15" i="2"/>
  <c r="H16" i="2"/>
  <c r="H17" i="2"/>
  <c r="H12" i="2"/>
  <c r="H23" i="2"/>
  <c r="I23" i="2" s="1"/>
  <c r="H24" i="2"/>
  <c r="I24" i="2" s="1"/>
  <c r="H25" i="2"/>
  <c r="I25" i="2" s="1"/>
  <c r="H26" i="2"/>
  <c r="I26" i="2" s="1"/>
  <c r="H27" i="2"/>
  <c r="I27" i="2" s="1"/>
  <c r="H22" i="2"/>
  <c r="I22" i="2" s="1"/>
  <c r="J6" i="2"/>
  <c r="I4" i="2"/>
  <c r="J4" i="2" s="1"/>
  <c r="I5" i="2"/>
  <c r="K5" i="2" s="1"/>
  <c r="I6" i="2"/>
  <c r="K6" i="2" s="1"/>
  <c r="I7" i="2"/>
  <c r="J7" i="2" s="1"/>
  <c r="I8" i="2"/>
  <c r="J8" i="2" s="1"/>
  <c r="I3" i="2"/>
  <c r="K3" i="2" s="1"/>
  <c r="H4" i="2"/>
  <c r="H5" i="2"/>
  <c r="H6" i="2"/>
  <c r="H7" i="2"/>
  <c r="H8" i="2"/>
  <c r="H3" i="2"/>
  <c r="J3" i="2" l="1"/>
  <c r="J5" i="2"/>
  <c r="K7" i="2"/>
  <c r="K8" i="2"/>
  <c r="K4" i="2"/>
  <c r="L23" i="2"/>
</calcChain>
</file>

<file path=xl/sharedStrings.xml><?xml version="1.0" encoding="utf-8"?>
<sst xmlns="http://schemas.openxmlformats.org/spreadsheetml/2006/main" count="43" uniqueCount="37">
  <si>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</si>
  <si>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</si>
  <si>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</si>
  <si>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</si>
  <si>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</si>
  <si>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</si>
  <si>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</si>
  <si>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</si>
  <si>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</si>
  <si>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</si>
  <si>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</si>
  <si>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 xml:space="preserve">ProductID </t>
  </si>
  <si>
    <t>Product names for each ProductID in the Orders</t>
  </si>
  <si>
    <t>The price for each ProductID in the Orders</t>
  </si>
  <si>
    <t>Assume a discount of 10% is given on all products. Use VLOOKUP to find the original price and then calculate the discounted price.</t>
  </si>
  <si>
    <t>Find out which products from the Products worksheet have not been ordered.</t>
  </si>
  <si>
    <t>Find the Product name and summarize the total quantity sold for each product.</t>
  </si>
  <si>
    <t>Find the price for each ProductID and then calculate the order value. Find the maximum order value from the list.</t>
  </si>
  <si>
    <t xml:space="preserve">Check if there are any ProductIDs in the Orders  that do not exist in the Products </t>
  </si>
  <si>
    <t>Calculate the TotalPrice by multiplying the Quantity by the Product Price by the Product Price</t>
  </si>
  <si>
    <t>2b</t>
  </si>
  <si>
    <t>ProductName</t>
  </si>
  <si>
    <t>Discount</t>
  </si>
  <si>
    <t>Discounted Price</t>
  </si>
  <si>
    <t>Total price</t>
  </si>
  <si>
    <t>1, 2 and 4</t>
  </si>
  <si>
    <t>OrderValue</t>
  </si>
  <si>
    <t>max order value</t>
  </si>
  <si>
    <t xml:space="preserve"> Product iD Found/NotFound</t>
  </si>
  <si>
    <t>Ordered/not ordered</t>
  </si>
  <si>
    <t>Product h</t>
  </si>
  <si>
    <t>6,7</t>
  </si>
  <si>
    <t>Total Quantity</t>
  </si>
  <si>
    <t>Question no</t>
  </si>
  <si>
    <t>Question</t>
  </si>
  <si>
    <t>Answers</t>
  </si>
  <si>
    <t>Answer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</si>
</sst>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3" borderId="1" xfId="0" applyFont="1" applyFill="1" applyBorder="1"/>
    <xf numFmtId="0" fontId="0" fillId="0" borderId="0" xfId="0" applyAlignment="1">
      <alignment horizontal="right"/>
    </xf>
    <xf numFmtId="0" fontId="0" fillId="0" borderId="1" xfId="0" applyBorder="1"/>
    <xf numFmtId="9" fontId="0" fillId="0" borderId="0" xfId="0" applyNumberFormat="1"/>
    <xf numFmtId="0" fontId="1" fillId="0" borderId="3" xfId="0" applyFont="1" applyBorder="1"/>
    <xf numFmtId="0" fontId="0" fillId="0" borderId="4" xfId="0" applyBorder="1"/>
    <xf numFmtId="0" fontId="0" fillId="2" borderId="2" xfId="0" applyFill="1" applyBorder="1"/>
    <xf numFmtId="0" fontId="1" fillId="0" borderId="0" xfId="0" applyFont="1" applyAlignment="1">
      <alignment horizontal="center"/>
    </xf>
    <xf numFmtId="9" fontId="0" fillId="0" borderId="1" xfId="0" applyNumberFormat="1" applyBorder="1"/>
    <xf numFmtId="0" fontId="1" fillId="4" borderId="1" xfId="0" applyFont="1" applyFill="1" applyBorder="1"/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7537-EF68-4656-8637-AAB21B2C2392}">
  <dimension ref="A1:C8"/>
  <sheetViews>
    <sheetView workbookViewId="0">
      <selection activeCell="C9" sqref="C9"/>
    </sheetView>
  </sheetViews>
  <sheetFormatPr defaultRowHeight="14.5" x14ac:dyDescent="0.35"/>
  <cols>
    <col min="2" max="2" width="10.90625" bestFit="1" customWidth="1"/>
    <col min="8" max="8" width="10.4531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>
        <v>101</v>
      </c>
      <c r="B2" s="2" t="s">
        <v>3</v>
      </c>
      <c r="C2" s="2">
        <v>120</v>
      </c>
    </row>
    <row r="3" spans="1:3" x14ac:dyDescent="0.35">
      <c r="A3" s="2">
        <v>102</v>
      </c>
      <c r="B3" s="2" t="s">
        <v>4</v>
      </c>
      <c r="C3" s="2">
        <v>150</v>
      </c>
    </row>
    <row r="4" spans="1:3" x14ac:dyDescent="0.35">
      <c r="A4" s="2">
        <v>103</v>
      </c>
      <c r="B4" s="2" t="s">
        <v>5</v>
      </c>
      <c r="C4" s="2">
        <v>200</v>
      </c>
    </row>
    <row r="5" spans="1:3" x14ac:dyDescent="0.35">
      <c r="A5" s="2">
        <v>104</v>
      </c>
      <c r="B5" s="2" t="s">
        <v>6</v>
      </c>
      <c r="C5" s="2">
        <v>90</v>
      </c>
    </row>
    <row r="6" spans="1:3" x14ac:dyDescent="0.35">
      <c r="A6" s="2">
        <v>105</v>
      </c>
      <c r="B6" s="2" t="s">
        <v>7</v>
      </c>
      <c r="C6" s="2">
        <v>220</v>
      </c>
    </row>
    <row r="7" spans="1:3" x14ac:dyDescent="0.35">
      <c r="A7" s="2">
        <v>106</v>
      </c>
      <c r="B7" s="2" t="s">
        <v>8</v>
      </c>
      <c r="C7" s="2">
        <v>130</v>
      </c>
    </row>
    <row r="8" spans="1:3" x14ac:dyDescent="0.35">
      <c r="A8" s="9">
        <v>108</v>
      </c>
      <c r="B8" s="9" t="s">
        <v>30</v>
      </c>
      <c r="C8" s="9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0091-5345-4045-A5D0-B674CC5FE98B}">
  <dimension ref="A1:L37"/>
  <sheetViews>
    <sheetView tabSelected="1" zoomScale="64" workbookViewId="0">
      <selection activeCell="E8" sqref="E8"/>
    </sheetView>
  </sheetViews>
  <sheetFormatPr defaultRowHeight="14.5" x14ac:dyDescent="0.35"/>
  <cols>
    <col min="1" max="1" width="9" bestFit="1" customWidth="1"/>
    <col min="2" max="2" width="11" customWidth="1"/>
    <col min="3" max="3" width="8.7265625" customWidth="1"/>
    <col min="4" max="4" width="11" bestFit="1" customWidth="1"/>
    <col min="5" max="5" width="110.26953125" bestFit="1" customWidth="1"/>
    <col min="6" max="6" width="12.26953125" customWidth="1"/>
    <col min="7" max="7" width="14.7265625" bestFit="1" customWidth="1"/>
    <col min="8" max="8" width="25" bestFit="1" customWidth="1"/>
    <col min="9" max="9" width="13" bestFit="1" customWidth="1"/>
    <col min="10" max="10" width="14.453125" bestFit="1" customWidth="1"/>
    <col min="11" max="11" width="14.90625" bestFit="1" customWidth="1"/>
  </cols>
  <sheetData>
    <row r="1" spans="1:11" x14ac:dyDescent="0.35">
      <c r="D1" s="1" t="s">
        <v>33</v>
      </c>
      <c r="E1" s="10" t="s">
        <v>34</v>
      </c>
      <c r="F1" s="1" t="s">
        <v>36</v>
      </c>
      <c r="G1" s="16" t="s">
        <v>35</v>
      </c>
      <c r="H1" s="16"/>
      <c r="I1" s="16"/>
      <c r="J1" s="16"/>
      <c r="K1" s="16"/>
    </row>
    <row r="2" spans="1:11" x14ac:dyDescent="0.35">
      <c r="A2" s="3" t="s">
        <v>9</v>
      </c>
      <c r="B2" s="3" t="s">
        <v>11</v>
      </c>
      <c r="C2" s="3" t="s">
        <v>10</v>
      </c>
      <c r="D2">
        <v>1</v>
      </c>
      <c r="E2" s="15" t="s">
        <v>12</v>
      </c>
      <c r="F2" s="13" t="s">
        <v>25</v>
      </c>
      <c r="G2" s="12" t="s">
        <v>0</v>
      </c>
      <c r="H2" s="12" t="s">
        <v>21</v>
      </c>
      <c r="I2" s="12" t="s">
        <v>2</v>
      </c>
      <c r="J2" s="12" t="s">
        <v>24</v>
      </c>
      <c r="K2" s="12" t="s">
        <v>23</v>
      </c>
    </row>
    <row r="3" spans="1:11" x14ac:dyDescent="0.35">
      <c r="A3" s="2">
        <v>1</v>
      </c>
      <c r="B3" s="2">
        <v>101</v>
      </c>
      <c r="C3" s="2">
        <v>2</v>
      </c>
      <c r="D3">
        <v>2</v>
      </c>
      <c r="E3" s="15" t="s">
        <v>13</v>
      </c>
      <c r="G3" s="5">
        <v>101</v>
      </c>
      <c r="H3" s="5" t="str">
        <f>VLOOKUP(G3,Products!$A$1:$C$7,2,0)</f>
        <v>Product A</v>
      </c>
      <c r="I3" s="5">
        <f>VLOOKUP(B2:B8,Products!$A$1:$C$7,3,0)</f>
        <v>120</v>
      </c>
      <c r="J3" s="5">
        <f t="shared" ref="J3:J8" si="0">I3*C3</f>
        <v>240</v>
      </c>
      <c r="K3" s="5">
        <f>I3-I3*10%</f>
        <v>108</v>
      </c>
    </row>
    <row r="4" spans="1:11" x14ac:dyDescent="0.35">
      <c r="A4" s="2">
        <v>2</v>
      </c>
      <c r="B4" s="2">
        <v>103</v>
      </c>
      <c r="C4" s="2">
        <v>1</v>
      </c>
      <c r="D4" s="4" t="s">
        <v>20</v>
      </c>
      <c r="E4" s="15" t="s">
        <v>19</v>
      </c>
      <c r="G4" s="5">
        <v>103</v>
      </c>
      <c r="H4" s="5" t="str">
        <f>VLOOKUP(G4,Products!$A$1:$C$7,2,0)</f>
        <v>Product C</v>
      </c>
      <c r="I4" s="5">
        <f>VLOOKUP(B3:B9,Products!$A$1:$C$7,3,0)</f>
        <v>200</v>
      </c>
      <c r="J4" s="5">
        <f t="shared" si="0"/>
        <v>200</v>
      </c>
      <c r="K4" s="5">
        <f t="shared" ref="K4:K8" si="1">I4-I4*10%</f>
        <v>180</v>
      </c>
    </row>
    <row r="5" spans="1:11" x14ac:dyDescent="0.35">
      <c r="A5" s="2">
        <v>3</v>
      </c>
      <c r="B5" s="2">
        <v>105</v>
      </c>
      <c r="C5" s="2">
        <v>4</v>
      </c>
      <c r="D5">
        <v>3</v>
      </c>
      <c r="E5" s="15" t="s">
        <v>18</v>
      </c>
      <c r="G5" s="5">
        <v>105</v>
      </c>
      <c r="H5" s="5" t="str">
        <f>VLOOKUP(G5,Products!$A$1:$C$7,2,0)</f>
        <v>Product E</v>
      </c>
      <c r="I5" s="5">
        <f>VLOOKUP(B4:B10,Products!$A$1:$C$7,3,0)</f>
        <v>220</v>
      </c>
      <c r="J5" s="5">
        <f t="shared" si="0"/>
        <v>880</v>
      </c>
      <c r="K5" s="5">
        <f t="shared" si="1"/>
        <v>198</v>
      </c>
    </row>
    <row r="6" spans="1:11" x14ac:dyDescent="0.35">
      <c r="A6" s="2">
        <v>4</v>
      </c>
      <c r="B6" s="2">
        <v>106</v>
      </c>
      <c r="C6" s="2">
        <v>3</v>
      </c>
      <c r="D6">
        <v>4</v>
      </c>
      <c r="E6" s="15" t="s">
        <v>14</v>
      </c>
      <c r="G6" s="5">
        <v>106</v>
      </c>
      <c r="H6" s="5" t="str">
        <f>VLOOKUP(G6,Products!$A$1:$C$7,2,0)</f>
        <v>Product F</v>
      </c>
      <c r="I6" s="5">
        <f>VLOOKUP(B5:B11,Products!$A$1:$C$7,3,0)</f>
        <v>130</v>
      </c>
      <c r="J6" s="5">
        <f t="shared" si="0"/>
        <v>390</v>
      </c>
      <c r="K6" s="5">
        <f t="shared" si="1"/>
        <v>117</v>
      </c>
    </row>
    <row r="7" spans="1:11" x14ac:dyDescent="0.35">
      <c r="A7" s="2">
        <v>5</v>
      </c>
      <c r="B7" s="2">
        <v>102</v>
      </c>
      <c r="C7" s="2">
        <v>5</v>
      </c>
      <c r="D7">
        <v>5</v>
      </c>
      <c r="E7" s="15" t="s">
        <v>17</v>
      </c>
      <c r="G7" s="5">
        <v>102</v>
      </c>
      <c r="H7" s="5" t="str">
        <f>VLOOKUP(G7,Products!$A$1:$C$7,2,0)</f>
        <v>Product B</v>
      </c>
      <c r="I7" s="5">
        <f>VLOOKUP(B6:B12,Products!$A$1:$C$7,3,0)</f>
        <v>150</v>
      </c>
      <c r="J7" s="5">
        <f t="shared" si="0"/>
        <v>750</v>
      </c>
      <c r="K7" s="5">
        <f t="shared" si="1"/>
        <v>135</v>
      </c>
    </row>
    <row r="8" spans="1:11" x14ac:dyDescent="0.35">
      <c r="A8" s="2">
        <v>6</v>
      </c>
      <c r="B8" s="2">
        <v>104</v>
      </c>
      <c r="C8" s="2">
        <v>6</v>
      </c>
      <c r="D8">
        <v>6</v>
      </c>
      <c r="E8" s="15" t="s">
        <v>15</v>
      </c>
      <c r="G8" s="5">
        <v>104</v>
      </c>
      <c r="H8" s="5" t="str">
        <f>VLOOKUP(G8,Products!$A$1:$C$7,2,0)</f>
        <v>Product D</v>
      </c>
      <c r="I8" s="5">
        <f>VLOOKUP(B7:B13,Products!$A$1:$C$7,3,0)</f>
        <v>90</v>
      </c>
      <c r="J8" s="5">
        <f t="shared" si="0"/>
        <v>540</v>
      </c>
      <c r="K8" s="5">
        <f t="shared" si="1"/>
        <v>81</v>
      </c>
    </row>
    <row r="9" spans="1:11" x14ac:dyDescent="0.35">
      <c r="A9" s="2">
        <v>7</v>
      </c>
      <c r="B9" s="2">
        <v>107</v>
      </c>
      <c r="C9" s="2">
        <v>2</v>
      </c>
      <c r="D9">
        <v>7</v>
      </c>
      <c r="E9" s="15" t="s">
        <v>16</v>
      </c>
    </row>
    <row r="11" spans="1:11" x14ac:dyDescent="0.35">
      <c r="F11" s="14">
        <v>3</v>
      </c>
      <c r="G11" s="12" t="s">
        <v>0</v>
      </c>
      <c r="H11" s="12" t="s">
        <v>28</v>
      </c>
    </row>
    <row r="12" spans="1:11" x14ac:dyDescent="0.35">
      <c r="A12" s="5" t="s">
        <v>22</v>
      </c>
      <c r="B12" s="11">
        <v>0.1</v>
      </c>
      <c r="G12" s="5">
        <v>101</v>
      </c>
      <c r="H12" s="5" t="str">
        <f>IF(ISNA(VLOOKUP(G12,Products!$A$1:$B$7,1,0)),"Not Found","Found")</f>
        <v>Found</v>
      </c>
    </row>
    <row r="13" spans="1:11" x14ac:dyDescent="0.35">
      <c r="G13" s="5">
        <v>103</v>
      </c>
      <c r="H13" s="5" t="str">
        <f>IF(ISNA(VLOOKUP(G13,Products!$A$1:$B$7,1,0)),"Not Found","Found")</f>
        <v>Found</v>
      </c>
    </row>
    <row r="14" spans="1:11" x14ac:dyDescent="0.35">
      <c r="G14" s="5">
        <v>105</v>
      </c>
      <c r="H14" s="5" t="str">
        <f>IF(ISNA(VLOOKUP(G14,Products!$A$1:$B$7,1,0)),"Not Found","Found")</f>
        <v>Found</v>
      </c>
    </row>
    <row r="15" spans="1:11" x14ac:dyDescent="0.35">
      <c r="G15" s="5">
        <v>106</v>
      </c>
      <c r="H15" s="5" t="str">
        <f>IF(ISNA(VLOOKUP(G15,Products!$A$1:$B$7,1,0)),"Not Found","Found")</f>
        <v>Found</v>
      </c>
    </row>
    <row r="16" spans="1:11" x14ac:dyDescent="0.35">
      <c r="G16" s="5">
        <v>102</v>
      </c>
      <c r="H16" s="5" t="str">
        <f>IF(ISNA(VLOOKUP(G16,Products!$A$1:$B$7,1,0)),"Not Found","Found")</f>
        <v>Found</v>
      </c>
    </row>
    <row r="17" spans="3:12" x14ac:dyDescent="0.35">
      <c r="G17" s="5">
        <v>104</v>
      </c>
      <c r="H17" s="5" t="str">
        <f>IF(ISNA(VLOOKUP(G17,Products!$A$1:$B$7,1,0)),"Not Found","Found")</f>
        <v>Found</v>
      </c>
    </row>
    <row r="18" spans="3:12" x14ac:dyDescent="0.35">
      <c r="G18" s="5">
        <v>107</v>
      </c>
      <c r="H18" s="5" t="str">
        <f>IF(ISNA(VLOOKUP(G18,Products!$A$1:$B$7,1,0)),"Not Found","Found")</f>
        <v>Not Found</v>
      </c>
    </row>
    <row r="20" spans="3:12" x14ac:dyDescent="0.35">
      <c r="C20" s="6"/>
    </row>
    <row r="21" spans="3:12" x14ac:dyDescent="0.35">
      <c r="F21" s="13">
        <v>5</v>
      </c>
      <c r="G21" s="12" t="s">
        <v>0</v>
      </c>
      <c r="H21" s="12" t="s">
        <v>2</v>
      </c>
      <c r="I21" s="12" t="s">
        <v>26</v>
      </c>
    </row>
    <row r="22" spans="3:12" ht="15" thickBot="1" x14ac:dyDescent="0.4">
      <c r="G22" s="5">
        <v>101</v>
      </c>
      <c r="H22" s="5">
        <f>VLOOKUP(G22,Products!$A$1:$C$7,3,0)</f>
        <v>120</v>
      </c>
      <c r="I22" s="5">
        <f t="shared" ref="I22:I27" si="2">H22*C3</f>
        <v>240</v>
      </c>
    </row>
    <row r="23" spans="3:12" ht="15" thickBot="1" x14ac:dyDescent="0.4">
      <c r="G23" s="5">
        <v>103</v>
      </c>
      <c r="H23" s="5">
        <f>VLOOKUP(G23,Products!$A$1:$C$7,3,0)</f>
        <v>200</v>
      </c>
      <c r="I23" s="5">
        <f t="shared" si="2"/>
        <v>200</v>
      </c>
      <c r="K23" s="7" t="s">
        <v>27</v>
      </c>
      <c r="L23" s="8">
        <f>MAX(I22:I27)</f>
        <v>880</v>
      </c>
    </row>
    <row r="24" spans="3:12" x14ac:dyDescent="0.35">
      <c r="G24" s="5">
        <v>105</v>
      </c>
      <c r="H24" s="5">
        <f>VLOOKUP(G24,Products!$A$1:$C$7,3,0)</f>
        <v>220</v>
      </c>
      <c r="I24" s="5">
        <f t="shared" si="2"/>
        <v>880</v>
      </c>
    </row>
    <row r="25" spans="3:12" x14ac:dyDescent="0.35">
      <c r="G25" s="5">
        <v>106</v>
      </c>
      <c r="H25" s="5">
        <f>VLOOKUP(G25,Products!$A$1:$C$7,3,0)</f>
        <v>130</v>
      </c>
      <c r="I25" s="5">
        <f t="shared" si="2"/>
        <v>390</v>
      </c>
    </row>
    <row r="26" spans="3:12" x14ac:dyDescent="0.35">
      <c r="G26" s="5">
        <v>102</v>
      </c>
      <c r="H26" s="5">
        <f>VLOOKUP(G26,Products!$A$1:$C$7,3,0)</f>
        <v>150</v>
      </c>
      <c r="I26" s="5">
        <f t="shared" si="2"/>
        <v>750</v>
      </c>
    </row>
    <row r="27" spans="3:12" x14ac:dyDescent="0.35">
      <c r="G27" s="5">
        <v>104</v>
      </c>
      <c r="H27" s="5">
        <f>VLOOKUP(G27,Products!$A$1:$C$7,3,0)</f>
        <v>90</v>
      </c>
      <c r="I27" s="5">
        <f t="shared" si="2"/>
        <v>540</v>
      </c>
    </row>
    <row r="30" spans="3:12" x14ac:dyDescent="0.35">
      <c r="F30" s="13" t="s">
        <v>31</v>
      </c>
      <c r="G30" s="12" t="s">
        <v>0</v>
      </c>
      <c r="H30" s="12" t="s">
        <v>29</v>
      </c>
      <c r="I30" s="12" t="s">
        <v>32</v>
      </c>
    </row>
    <row r="31" spans="3:12" x14ac:dyDescent="0.35">
      <c r="G31" s="5">
        <v>101</v>
      </c>
      <c r="H31" s="5" t="str">
        <f>IF(ISNA(VLOOKUP(Products!A2,Orders!$B$2:$C$9,3,)),"Not order","Ordered")</f>
        <v>Ordered</v>
      </c>
      <c r="I31" s="5">
        <f>SUMIF($B$2:$B$9,Products!A2,Orders!$C$2:$C$9)</f>
        <v>2</v>
      </c>
    </row>
    <row r="32" spans="3:12" x14ac:dyDescent="0.35">
      <c r="G32" s="5">
        <v>103</v>
      </c>
      <c r="H32" s="5" t="str">
        <f>IF(ISNA(VLOOKUP(Products!A3,Orders!$B$2:$C$9,3,)),"Not order","Ordered")</f>
        <v>Ordered</v>
      </c>
      <c r="I32" s="5">
        <f>SUMIF($B$2:$B$9,Products!A3,Orders!$C$2:$C$9)</f>
        <v>5</v>
      </c>
    </row>
    <row r="33" spans="7:9" x14ac:dyDescent="0.35">
      <c r="G33" s="5">
        <v>105</v>
      </c>
      <c r="H33" s="5" t="str">
        <f>IF(ISNA(VLOOKUP(Products!A4,Orders!$B$2:$C$9,3,)),"Not order","Ordered")</f>
        <v>Ordered</v>
      </c>
      <c r="I33" s="5">
        <f>SUMIF($B$2:$B$9,Products!A4,Orders!$C$2:$C$9)</f>
        <v>1</v>
      </c>
    </row>
    <row r="34" spans="7:9" x14ac:dyDescent="0.35">
      <c r="G34" s="5">
        <v>106</v>
      </c>
      <c r="H34" s="5" t="str">
        <f>IF(ISNA(VLOOKUP(Products!A5,Orders!$B$2:$C$9,3,)),"Not order","Ordered")</f>
        <v>Ordered</v>
      </c>
      <c r="I34" s="5">
        <f>SUMIF($B$2:$B$9,Products!A5,Orders!$C$2:$C$9)</f>
        <v>6</v>
      </c>
    </row>
    <row r="35" spans="7:9" x14ac:dyDescent="0.35">
      <c r="G35" s="5">
        <v>102</v>
      </c>
      <c r="H35" s="5" t="str">
        <f>IF(ISNA(VLOOKUP(Products!A6,Orders!$B$2:$C$9,3,)),"Not order","Ordered")</f>
        <v>Ordered</v>
      </c>
      <c r="I35" s="5">
        <f>SUMIF($B$2:$B$9,Products!A6,Orders!$C$2:$C$9)</f>
        <v>4</v>
      </c>
    </row>
    <row r="36" spans="7:9" x14ac:dyDescent="0.35">
      <c r="G36" s="5">
        <v>104</v>
      </c>
      <c r="H36" s="5" t="str">
        <f>IF(ISNA(VLOOKUP(Products!A7,Orders!$B$2:$C$9,3,)),"Not order","Ordered")</f>
        <v>Ordered</v>
      </c>
      <c r="I36" s="5">
        <f>SUMIF($B$2:$B$9,Products!A7,Orders!$C$2:$C$9)</f>
        <v>3</v>
      </c>
    </row>
    <row r="37" spans="7:9" x14ac:dyDescent="0.35">
      <c r="G37" s="5">
        <v>108</v>
      </c>
      <c r="H37" s="5" t="str">
        <f>IF(ISNA(VLOOKUP(Products!A8,Orders!$B$2:$C$9,3,)),"Not order","Ordered")</f>
        <v>Not order</v>
      </c>
      <c r="I37" s="5">
        <f>SUMIF($B$2:$B$9,Products!A8,Orders!$C$2:$C$9)</f>
        <v>0</v>
      </c>
    </row>
  </sheetData>
  <mergeCells count="1"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2026-01-09T10:56:46Z</dcterms:created>
  <dcterms:modified xsi:type="dcterms:W3CDTF">2026-01-13T16:01:25Z</dcterms:modified>
</cp:coreProperties>
</file>