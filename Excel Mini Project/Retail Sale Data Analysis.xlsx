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Anudip Works\"/>
    </mc:Choice>
  </mc:AlternateContent>
  <xr:revisionPtr revIDLastSave="0" documentId="8_{636DF9A1-97BD-48D8-953A-6BB0DEB54167}" xr6:coauthVersionLast="47" xr6:coauthVersionMax="47" xr10:uidLastSave="{00000000-0000-0000-0000-000000000000}"/>
  <bookViews>
    <workbookView xWindow="-110" yWindow="-110" windowWidth="19420" windowHeight="10300" xr2:uid="{D5F93A9B-4127-4E23-BDF0-C6E9BC94826D}"/>
  </bookViews>
  <sheets>
    <sheet name="Cleaned data" sheetId="3" r:id="rId1"/>
    <sheet name="sales_data" sheetId="1" r:id="rId2"/>
    <sheet name="Functions" sheetId="4" r:id="rId3"/>
    <sheet name="Sort n filter" sheetId="5" r:id="rId4"/>
    <sheet name="Conditional Formating" sheetId="13" r:id="rId5"/>
    <sheet name="lookups and indexmatch" sheetId="12" r:id="rId6"/>
    <sheet name="Pivot Tables" sheetId="7" r:id="rId7"/>
    <sheet name="Visualization" sheetId="11" r:id="rId8"/>
    <sheet name="Pivot Table for pivot Chart " sheetId="9" r:id="rId9"/>
  </sheets>
  <definedNames>
    <definedName name="_xlnm._FilterDatabase" localSheetId="0" hidden="1">'Cleaned data'!$A$1:$V$301</definedName>
    <definedName name="_xlnm._FilterDatabase" localSheetId="2" hidden="1">Functions!$B$14:$C$18</definedName>
    <definedName name="Slicer_Age_Group">#N/A</definedName>
    <definedName name="Slicer_Months__Sale_Date">#N/A</definedName>
    <definedName name="Slicer_Product_Category">#N/A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01" i="13" l="1"/>
  <c r="N301" i="13"/>
  <c r="P301" i="13" s="1"/>
  <c r="C301" i="13"/>
  <c r="O300" i="13"/>
  <c r="N300" i="13"/>
  <c r="C300" i="13"/>
  <c r="O299" i="13"/>
  <c r="N299" i="13"/>
  <c r="P299" i="13" s="1"/>
  <c r="C299" i="13"/>
  <c r="O298" i="13"/>
  <c r="N298" i="13"/>
  <c r="C298" i="13"/>
  <c r="O297" i="13"/>
  <c r="N297" i="13"/>
  <c r="P297" i="13" s="1"/>
  <c r="C297" i="13"/>
  <c r="O296" i="13"/>
  <c r="N296" i="13"/>
  <c r="C296" i="13"/>
  <c r="O295" i="13"/>
  <c r="N295" i="13"/>
  <c r="P295" i="13" s="1"/>
  <c r="C295" i="13"/>
  <c r="O294" i="13"/>
  <c r="N294" i="13"/>
  <c r="C294" i="13"/>
  <c r="O293" i="13"/>
  <c r="N293" i="13"/>
  <c r="P293" i="13" s="1"/>
  <c r="C293" i="13"/>
  <c r="O292" i="13"/>
  <c r="N292" i="13"/>
  <c r="C292" i="13"/>
  <c r="O291" i="13"/>
  <c r="N291" i="13"/>
  <c r="C291" i="13"/>
  <c r="O290" i="13"/>
  <c r="N290" i="13"/>
  <c r="C290" i="13"/>
  <c r="O289" i="13"/>
  <c r="N289" i="13"/>
  <c r="P289" i="13" s="1"/>
  <c r="C289" i="13"/>
  <c r="O288" i="13"/>
  <c r="N288" i="13"/>
  <c r="C288" i="13"/>
  <c r="O287" i="13"/>
  <c r="N287" i="13"/>
  <c r="P287" i="13" s="1"/>
  <c r="C287" i="13"/>
  <c r="O286" i="13"/>
  <c r="N286" i="13"/>
  <c r="C286" i="13"/>
  <c r="O285" i="13"/>
  <c r="N285" i="13"/>
  <c r="C285" i="13"/>
  <c r="O284" i="13"/>
  <c r="N284" i="13"/>
  <c r="C284" i="13"/>
  <c r="O283" i="13"/>
  <c r="N283" i="13"/>
  <c r="C283" i="13"/>
  <c r="O282" i="13"/>
  <c r="N282" i="13"/>
  <c r="C282" i="13"/>
  <c r="O281" i="13"/>
  <c r="N281" i="13"/>
  <c r="P281" i="13" s="1"/>
  <c r="C281" i="13"/>
  <c r="O280" i="13"/>
  <c r="N280" i="13"/>
  <c r="C280" i="13"/>
  <c r="O279" i="13"/>
  <c r="N279" i="13"/>
  <c r="P279" i="13" s="1"/>
  <c r="C279" i="13"/>
  <c r="O278" i="13"/>
  <c r="N278" i="13"/>
  <c r="C278" i="13"/>
  <c r="O277" i="13"/>
  <c r="N277" i="13"/>
  <c r="P277" i="13" s="1"/>
  <c r="C277" i="13"/>
  <c r="O276" i="13"/>
  <c r="N276" i="13"/>
  <c r="C276" i="13"/>
  <c r="O275" i="13"/>
  <c r="N275" i="13"/>
  <c r="C275" i="13"/>
  <c r="O274" i="13"/>
  <c r="N274" i="13"/>
  <c r="C274" i="13"/>
  <c r="O273" i="13"/>
  <c r="N273" i="13"/>
  <c r="P273" i="13" s="1"/>
  <c r="C273" i="13"/>
  <c r="O272" i="13"/>
  <c r="N272" i="13"/>
  <c r="C272" i="13"/>
  <c r="O271" i="13"/>
  <c r="N271" i="13"/>
  <c r="P271" i="13" s="1"/>
  <c r="C271" i="13"/>
  <c r="O270" i="13"/>
  <c r="N270" i="13"/>
  <c r="C270" i="13"/>
  <c r="O269" i="13"/>
  <c r="N269" i="13"/>
  <c r="C269" i="13"/>
  <c r="O268" i="13"/>
  <c r="N268" i="13"/>
  <c r="C268" i="13"/>
  <c r="O267" i="13"/>
  <c r="N267" i="13"/>
  <c r="C267" i="13"/>
  <c r="O266" i="13"/>
  <c r="N266" i="13"/>
  <c r="C266" i="13"/>
  <c r="O265" i="13"/>
  <c r="N265" i="13"/>
  <c r="P265" i="13" s="1"/>
  <c r="C265" i="13"/>
  <c r="O264" i="13"/>
  <c r="N264" i="13"/>
  <c r="C264" i="13"/>
  <c r="O263" i="13"/>
  <c r="N263" i="13"/>
  <c r="P263" i="13" s="1"/>
  <c r="C263" i="13"/>
  <c r="O262" i="13"/>
  <c r="N262" i="13"/>
  <c r="C262" i="13"/>
  <c r="O261" i="13"/>
  <c r="N261" i="13"/>
  <c r="P261" i="13" s="1"/>
  <c r="C261" i="13"/>
  <c r="O260" i="13"/>
  <c r="N260" i="13"/>
  <c r="C260" i="13"/>
  <c r="O259" i="13"/>
  <c r="N259" i="13"/>
  <c r="C259" i="13"/>
  <c r="O258" i="13"/>
  <c r="N258" i="13"/>
  <c r="C258" i="13"/>
  <c r="O257" i="13"/>
  <c r="N257" i="13"/>
  <c r="P257" i="13" s="1"/>
  <c r="C257" i="13"/>
  <c r="O256" i="13"/>
  <c r="N256" i="13"/>
  <c r="C256" i="13"/>
  <c r="O255" i="13"/>
  <c r="N255" i="13"/>
  <c r="P255" i="13" s="1"/>
  <c r="C255" i="13"/>
  <c r="O254" i="13"/>
  <c r="N254" i="13"/>
  <c r="C254" i="13"/>
  <c r="O253" i="13"/>
  <c r="N253" i="13"/>
  <c r="C253" i="13"/>
  <c r="O252" i="13"/>
  <c r="N252" i="13"/>
  <c r="C252" i="13"/>
  <c r="O251" i="13"/>
  <c r="N251" i="13"/>
  <c r="C251" i="13"/>
  <c r="O250" i="13"/>
  <c r="N250" i="13"/>
  <c r="C250" i="13"/>
  <c r="O249" i="13"/>
  <c r="N249" i="13"/>
  <c r="P249" i="13" s="1"/>
  <c r="C249" i="13"/>
  <c r="O248" i="13"/>
  <c r="N248" i="13"/>
  <c r="C248" i="13"/>
  <c r="O247" i="13"/>
  <c r="N247" i="13"/>
  <c r="P247" i="13" s="1"/>
  <c r="C247" i="13"/>
  <c r="O246" i="13"/>
  <c r="N246" i="13"/>
  <c r="C246" i="13"/>
  <c r="O245" i="13"/>
  <c r="N245" i="13"/>
  <c r="P245" i="13" s="1"/>
  <c r="C245" i="13"/>
  <c r="O244" i="13"/>
  <c r="N244" i="13"/>
  <c r="C244" i="13"/>
  <c r="O243" i="13"/>
  <c r="N243" i="13"/>
  <c r="C243" i="13"/>
  <c r="O242" i="13"/>
  <c r="N242" i="13"/>
  <c r="C242" i="13"/>
  <c r="O241" i="13"/>
  <c r="N241" i="13"/>
  <c r="P241" i="13" s="1"/>
  <c r="C241" i="13"/>
  <c r="O240" i="13"/>
  <c r="N240" i="13"/>
  <c r="C240" i="13"/>
  <c r="O239" i="13"/>
  <c r="N239" i="13"/>
  <c r="P239" i="13" s="1"/>
  <c r="C239" i="13"/>
  <c r="O238" i="13"/>
  <c r="N238" i="13"/>
  <c r="C238" i="13"/>
  <c r="O237" i="13"/>
  <c r="N237" i="13"/>
  <c r="C237" i="13"/>
  <c r="O236" i="13"/>
  <c r="N236" i="13"/>
  <c r="C236" i="13"/>
  <c r="O235" i="13"/>
  <c r="N235" i="13"/>
  <c r="C235" i="13"/>
  <c r="O234" i="13"/>
  <c r="N234" i="13"/>
  <c r="C234" i="13"/>
  <c r="O233" i="13"/>
  <c r="N233" i="13"/>
  <c r="P233" i="13" s="1"/>
  <c r="C233" i="13"/>
  <c r="O232" i="13"/>
  <c r="N232" i="13"/>
  <c r="C232" i="13"/>
  <c r="O231" i="13"/>
  <c r="N231" i="13"/>
  <c r="P231" i="13" s="1"/>
  <c r="C231" i="13"/>
  <c r="O230" i="13"/>
  <c r="N230" i="13"/>
  <c r="C230" i="13"/>
  <c r="O229" i="13"/>
  <c r="N229" i="13"/>
  <c r="P229" i="13" s="1"/>
  <c r="C229" i="13"/>
  <c r="O228" i="13"/>
  <c r="N228" i="13"/>
  <c r="C228" i="13"/>
  <c r="O227" i="13"/>
  <c r="N227" i="13"/>
  <c r="C227" i="13"/>
  <c r="O226" i="13"/>
  <c r="N226" i="13"/>
  <c r="C226" i="13"/>
  <c r="O225" i="13"/>
  <c r="N225" i="13"/>
  <c r="P225" i="13" s="1"/>
  <c r="C225" i="13"/>
  <c r="O224" i="13"/>
  <c r="N224" i="13"/>
  <c r="C224" i="13"/>
  <c r="O223" i="13"/>
  <c r="N223" i="13"/>
  <c r="P223" i="13" s="1"/>
  <c r="C223" i="13"/>
  <c r="O222" i="13"/>
  <c r="N222" i="13"/>
  <c r="C222" i="13"/>
  <c r="O221" i="13"/>
  <c r="N221" i="13"/>
  <c r="C221" i="13"/>
  <c r="O220" i="13"/>
  <c r="N220" i="13"/>
  <c r="C220" i="13"/>
  <c r="O219" i="13"/>
  <c r="N219" i="13"/>
  <c r="C219" i="13"/>
  <c r="O218" i="13"/>
  <c r="N218" i="13"/>
  <c r="C218" i="13"/>
  <c r="O217" i="13"/>
  <c r="N217" i="13"/>
  <c r="P217" i="13" s="1"/>
  <c r="C217" i="13"/>
  <c r="O216" i="13"/>
  <c r="N216" i="13"/>
  <c r="C216" i="13"/>
  <c r="O215" i="13"/>
  <c r="N215" i="13"/>
  <c r="P215" i="13" s="1"/>
  <c r="C215" i="13"/>
  <c r="O214" i="13"/>
  <c r="N214" i="13"/>
  <c r="C214" i="13"/>
  <c r="O213" i="13"/>
  <c r="N213" i="13"/>
  <c r="P213" i="13" s="1"/>
  <c r="C213" i="13"/>
  <c r="O212" i="13"/>
  <c r="N212" i="13"/>
  <c r="C212" i="13"/>
  <c r="O211" i="13"/>
  <c r="N211" i="13"/>
  <c r="C211" i="13"/>
  <c r="O210" i="13"/>
  <c r="N210" i="13"/>
  <c r="C210" i="13"/>
  <c r="O209" i="13"/>
  <c r="N209" i="13"/>
  <c r="P209" i="13" s="1"/>
  <c r="C209" i="13"/>
  <c r="O208" i="13"/>
  <c r="N208" i="13"/>
  <c r="C208" i="13"/>
  <c r="O207" i="13"/>
  <c r="N207" i="13"/>
  <c r="P207" i="13" s="1"/>
  <c r="C207" i="13"/>
  <c r="O206" i="13"/>
  <c r="N206" i="13"/>
  <c r="C206" i="13"/>
  <c r="O205" i="13"/>
  <c r="N205" i="13"/>
  <c r="C205" i="13"/>
  <c r="O204" i="13"/>
  <c r="N204" i="13"/>
  <c r="C204" i="13"/>
  <c r="O203" i="13"/>
  <c r="N203" i="13"/>
  <c r="C203" i="13"/>
  <c r="O202" i="13"/>
  <c r="N202" i="13"/>
  <c r="C202" i="13"/>
  <c r="O201" i="13"/>
  <c r="N201" i="13"/>
  <c r="C201" i="13"/>
  <c r="O200" i="13"/>
  <c r="N200" i="13"/>
  <c r="C200" i="13"/>
  <c r="O199" i="13"/>
  <c r="N199" i="13"/>
  <c r="C199" i="13"/>
  <c r="O198" i="13"/>
  <c r="N198" i="13"/>
  <c r="C198" i="13"/>
  <c r="O197" i="13"/>
  <c r="N197" i="13"/>
  <c r="C197" i="13"/>
  <c r="O196" i="13"/>
  <c r="N196" i="13"/>
  <c r="C196" i="13"/>
  <c r="O195" i="13"/>
  <c r="N195" i="13"/>
  <c r="C195" i="13"/>
  <c r="O194" i="13"/>
  <c r="N194" i="13"/>
  <c r="C194" i="13"/>
  <c r="O193" i="13"/>
  <c r="N193" i="13"/>
  <c r="C193" i="13"/>
  <c r="O192" i="13"/>
  <c r="N192" i="13"/>
  <c r="C192" i="13"/>
  <c r="O191" i="13"/>
  <c r="N191" i="13"/>
  <c r="C191" i="13"/>
  <c r="O190" i="13"/>
  <c r="N190" i="13"/>
  <c r="C190" i="13"/>
  <c r="O189" i="13"/>
  <c r="N189" i="13"/>
  <c r="C189" i="13"/>
  <c r="O188" i="13"/>
  <c r="N188" i="13"/>
  <c r="C188" i="13"/>
  <c r="O187" i="13"/>
  <c r="N187" i="13"/>
  <c r="C187" i="13"/>
  <c r="O186" i="13"/>
  <c r="N186" i="13"/>
  <c r="C186" i="13"/>
  <c r="O185" i="13"/>
  <c r="N185" i="13"/>
  <c r="C185" i="13"/>
  <c r="O184" i="13"/>
  <c r="N184" i="13"/>
  <c r="C184" i="13"/>
  <c r="O183" i="13"/>
  <c r="N183" i="13"/>
  <c r="C183" i="13"/>
  <c r="O182" i="13"/>
  <c r="N182" i="13"/>
  <c r="C182" i="13"/>
  <c r="O181" i="13"/>
  <c r="N181" i="13"/>
  <c r="C181" i="13"/>
  <c r="O180" i="13"/>
  <c r="N180" i="13"/>
  <c r="C180" i="13"/>
  <c r="O179" i="13"/>
  <c r="N179" i="13"/>
  <c r="C179" i="13"/>
  <c r="O178" i="13"/>
  <c r="N178" i="13"/>
  <c r="C178" i="13"/>
  <c r="O177" i="13"/>
  <c r="N177" i="13"/>
  <c r="P177" i="13" s="1"/>
  <c r="C177" i="13"/>
  <c r="O176" i="13"/>
  <c r="N176" i="13"/>
  <c r="C176" i="13"/>
  <c r="O175" i="13"/>
  <c r="N175" i="13"/>
  <c r="P175" i="13" s="1"/>
  <c r="C175" i="13"/>
  <c r="O174" i="13"/>
  <c r="N174" i="13"/>
  <c r="C174" i="13"/>
  <c r="O173" i="13"/>
  <c r="N173" i="13"/>
  <c r="C173" i="13"/>
  <c r="O172" i="13"/>
  <c r="N172" i="13"/>
  <c r="C172" i="13"/>
  <c r="O171" i="13"/>
  <c r="N171" i="13"/>
  <c r="C171" i="13"/>
  <c r="O170" i="13"/>
  <c r="N170" i="13"/>
  <c r="C170" i="13"/>
  <c r="O169" i="13"/>
  <c r="N169" i="13"/>
  <c r="P169" i="13" s="1"/>
  <c r="C169" i="13"/>
  <c r="O168" i="13"/>
  <c r="N168" i="13"/>
  <c r="C168" i="13"/>
  <c r="O167" i="13"/>
  <c r="N167" i="13"/>
  <c r="P167" i="13" s="1"/>
  <c r="C167" i="13"/>
  <c r="O166" i="13"/>
  <c r="N166" i="13"/>
  <c r="C166" i="13"/>
  <c r="O165" i="13"/>
  <c r="N165" i="13"/>
  <c r="P165" i="13" s="1"/>
  <c r="C165" i="13"/>
  <c r="O164" i="13"/>
  <c r="N164" i="13"/>
  <c r="C164" i="13"/>
  <c r="O163" i="13"/>
  <c r="N163" i="13"/>
  <c r="C163" i="13"/>
  <c r="O162" i="13"/>
  <c r="N162" i="13"/>
  <c r="C162" i="13"/>
  <c r="O161" i="13"/>
  <c r="N161" i="13"/>
  <c r="P161" i="13" s="1"/>
  <c r="C161" i="13"/>
  <c r="O160" i="13"/>
  <c r="N160" i="13"/>
  <c r="C160" i="13"/>
  <c r="O159" i="13"/>
  <c r="N159" i="13"/>
  <c r="C159" i="13"/>
  <c r="O158" i="13"/>
  <c r="N158" i="13"/>
  <c r="C158" i="13"/>
  <c r="O157" i="13"/>
  <c r="N157" i="13"/>
  <c r="C157" i="13"/>
  <c r="O156" i="13"/>
  <c r="N156" i="13"/>
  <c r="C156" i="13"/>
  <c r="O155" i="13"/>
  <c r="N155" i="13"/>
  <c r="C155" i="13"/>
  <c r="O154" i="13"/>
  <c r="N154" i="13"/>
  <c r="C154" i="13"/>
  <c r="O153" i="13"/>
  <c r="N153" i="13"/>
  <c r="P153" i="13" s="1"/>
  <c r="C153" i="13"/>
  <c r="O152" i="13"/>
  <c r="N152" i="13"/>
  <c r="C152" i="13"/>
  <c r="O151" i="13"/>
  <c r="N151" i="13"/>
  <c r="C151" i="13"/>
  <c r="O150" i="13"/>
  <c r="N150" i="13"/>
  <c r="C150" i="13"/>
  <c r="O149" i="13"/>
  <c r="N149" i="13"/>
  <c r="C149" i="13"/>
  <c r="O148" i="13"/>
  <c r="N148" i="13"/>
  <c r="C148" i="13"/>
  <c r="O147" i="13"/>
  <c r="N147" i="13"/>
  <c r="C147" i="13"/>
  <c r="O146" i="13"/>
  <c r="N146" i="13"/>
  <c r="C146" i="13"/>
  <c r="O145" i="13"/>
  <c r="N145" i="13"/>
  <c r="C145" i="13"/>
  <c r="O144" i="13"/>
  <c r="N144" i="13"/>
  <c r="C144" i="13"/>
  <c r="O143" i="13"/>
  <c r="N143" i="13"/>
  <c r="C143" i="13"/>
  <c r="O142" i="13"/>
  <c r="N142" i="13"/>
  <c r="C142" i="13"/>
  <c r="O141" i="13"/>
  <c r="N141" i="13"/>
  <c r="C141" i="13"/>
  <c r="O140" i="13"/>
  <c r="N140" i="13"/>
  <c r="C140" i="13"/>
  <c r="O139" i="13"/>
  <c r="N139" i="13"/>
  <c r="C139" i="13"/>
  <c r="O138" i="13"/>
  <c r="N138" i="13"/>
  <c r="C138" i="13"/>
  <c r="O137" i="13"/>
  <c r="N137" i="13"/>
  <c r="C137" i="13"/>
  <c r="O136" i="13"/>
  <c r="N136" i="13"/>
  <c r="C136" i="13"/>
  <c r="O135" i="13"/>
  <c r="N135" i="13"/>
  <c r="C135" i="13"/>
  <c r="O134" i="13"/>
  <c r="N134" i="13"/>
  <c r="C134" i="13"/>
  <c r="O133" i="13"/>
  <c r="N133" i="13"/>
  <c r="P133" i="13" s="1"/>
  <c r="C133" i="13"/>
  <c r="O132" i="13"/>
  <c r="N132" i="13"/>
  <c r="C132" i="13"/>
  <c r="O131" i="13"/>
  <c r="N131" i="13"/>
  <c r="C131" i="13"/>
  <c r="O130" i="13"/>
  <c r="N130" i="13"/>
  <c r="C130" i="13"/>
  <c r="O129" i="13"/>
  <c r="N129" i="13"/>
  <c r="P129" i="13" s="1"/>
  <c r="C129" i="13"/>
  <c r="O128" i="13"/>
  <c r="N128" i="13"/>
  <c r="C128" i="13"/>
  <c r="O127" i="13"/>
  <c r="N127" i="13"/>
  <c r="C127" i="13"/>
  <c r="O126" i="13"/>
  <c r="N126" i="13"/>
  <c r="C126" i="13"/>
  <c r="O125" i="13"/>
  <c r="N125" i="13"/>
  <c r="P125" i="13" s="1"/>
  <c r="C125" i="13"/>
  <c r="O124" i="13"/>
  <c r="N124" i="13"/>
  <c r="C124" i="13"/>
  <c r="O123" i="13"/>
  <c r="N123" i="13"/>
  <c r="C123" i="13"/>
  <c r="O122" i="13"/>
  <c r="N122" i="13"/>
  <c r="C122" i="13"/>
  <c r="O121" i="13"/>
  <c r="N121" i="13"/>
  <c r="C121" i="13"/>
  <c r="O120" i="13"/>
  <c r="N120" i="13"/>
  <c r="C120" i="13"/>
  <c r="O119" i="13"/>
  <c r="N119" i="13"/>
  <c r="C119" i="13"/>
  <c r="O118" i="13"/>
  <c r="N118" i="13"/>
  <c r="C118" i="13"/>
  <c r="O117" i="13"/>
  <c r="N117" i="13"/>
  <c r="C117" i="13"/>
  <c r="O116" i="13"/>
  <c r="N116" i="13"/>
  <c r="C116" i="13"/>
  <c r="O115" i="13"/>
  <c r="N115" i="13"/>
  <c r="C115" i="13"/>
  <c r="O114" i="13"/>
  <c r="N114" i="13"/>
  <c r="C114" i="13"/>
  <c r="O113" i="13"/>
  <c r="N113" i="13"/>
  <c r="C113" i="13"/>
  <c r="O112" i="13"/>
  <c r="N112" i="13"/>
  <c r="C112" i="13"/>
  <c r="O111" i="13"/>
  <c r="N111" i="13"/>
  <c r="C111" i="13"/>
  <c r="O110" i="13"/>
  <c r="N110" i="13"/>
  <c r="C110" i="13"/>
  <c r="O109" i="13"/>
  <c r="N109" i="13"/>
  <c r="C109" i="13"/>
  <c r="P108" i="13"/>
  <c r="O108" i="13"/>
  <c r="N108" i="13"/>
  <c r="C108" i="13"/>
  <c r="O107" i="13"/>
  <c r="N107" i="13"/>
  <c r="C107" i="13"/>
  <c r="O106" i="13"/>
  <c r="N106" i="13"/>
  <c r="C106" i="13"/>
  <c r="O105" i="13"/>
  <c r="N105" i="13"/>
  <c r="C105" i="13"/>
  <c r="O104" i="13"/>
  <c r="N104" i="13"/>
  <c r="C104" i="13"/>
  <c r="O103" i="13"/>
  <c r="N103" i="13"/>
  <c r="C103" i="13"/>
  <c r="O102" i="13"/>
  <c r="N102" i="13"/>
  <c r="C102" i="13"/>
  <c r="O101" i="13"/>
  <c r="N101" i="13"/>
  <c r="C101" i="13"/>
  <c r="O100" i="13"/>
  <c r="N100" i="13"/>
  <c r="C100" i="13"/>
  <c r="O99" i="13"/>
  <c r="N99" i="13"/>
  <c r="C99" i="13"/>
  <c r="O98" i="13"/>
  <c r="N98" i="13"/>
  <c r="C98" i="13"/>
  <c r="O97" i="13"/>
  <c r="N97" i="13"/>
  <c r="C97" i="13"/>
  <c r="O96" i="13"/>
  <c r="N96" i="13"/>
  <c r="C96" i="13"/>
  <c r="O95" i="13"/>
  <c r="N95" i="13"/>
  <c r="C95" i="13"/>
  <c r="O94" i="13"/>
  <c r="N94" i="13"/>
  <c r="C94" i="13"/>
  <c r="O93" i="13"/>
  <c r="N93" i="13"/>
  <c r="C93" i="13"/>
  <c r="O92" i="13"/>
  <c r="N92" i="13"/>
  <c r="C92" i="13"/>
  <c r="O91" i="13"/>
  <c r="N91" i="13"/>
  <c r="C91" i="13"/>
  <c r="O90" i="13"/>
  <c r="N90" i="13"/>
  <c r="C90" i="13"/>
  <c r="O89" i="13"/>
  <c r="N89" i="13"/>
  <c r="C89" i="13"/>
  <c r="O88" i="13"/>
  <c r="N88" i="13"/>
  <c r="C88" i="13"/>
  <c r="O87" i="13"/>
  <c r="N87" i="13"/>
  <c r="C87" i="13"/>
  <c r="O86" i="13"/>
  <c r="N86" i="13"/>
  <c r="C86" i="13"/>
  <c r="O85" i="13"/>
  <c r="N85" i="13"/>
  <c r="C85" i="13"/>
  <c r="O84" i="13"/>
  <c r="N84" i="13"/>
  <c r="C84" i="13"/>
  <c r="O83" i="13"/>
  <c r="N83" i="13"/>
  <c r="C83" i="13"/>
  <c r="O82" i="13"/>
  <c r="N82" i="13"/>
  <c r="C82" i="13"/>
  <c r="O81" i="13"/>
  <c r="N81" i="13"/>
  <c r="P81" i="13" s="1"/>
  <c r="C81" i="13"/>
  <c r="O80" i="13"/>
  <c r="N80" i="13"/>
  <c r="C80" i="13"/>
  <c r="O79" i="13"/>
  <c r="N79" i="13"/>
  <c r="C79" i="13"/>
  <c r="O78" i="13"/>
  <c r="N78" i="13"/>
  <c r="C78" i="13"/>
  <c r="O77" i="13"/>
  <c r="N77" i="13"/>
  <c r="C77" i="13"/>
  <c r="O76" i="13"/>
  <c r="N76" i="13"/>
  <c r="C76" i="13"/>
  <c r="O75" i="13"/>
  <c r="N75" i="13"/>
  <c r="C75" i="13"/>
  <c r="O74" i="13"/>
  <c r="N74" i="13"/>
  <c r="C74" i="13"/>
  <c r="O73" i="13"/>
  <c r="N73" i="13"/>
  <c r="P73" i="13" s="1"/>
  <c r="C73" i="13"/>
  <c r="O72" i="13"/>
  <c r="N72" i="13"/>
  <c r="C72" i="13"/>
  <c r="O71" i="13"/>
  <c r="N71" i="13"/>
  <c r="C71" i="13"/>
  <c r="O70" i="13"/>
  <c r="N70" i="13"/>
  <c r="C70" i="13"/>
  <c r="O69" i="13"/>
  <c r="N69" i="13"/>
  <c r="C69" i="13"/>
  <c r="O68" i="13"/>
  <c r="N68" i="13"/>
  <c r="C68" i="13"/>
  <c r="O67" i="13"/>
  <c r="N67" i="13"/>
  <c r="C67" i="13"/>
  <c r="O66" i="13"/>
  <c r="N66" i="13"/>
  <c r="C66" i="13"/>
  <c r="O65" i="13"/>
  <c r="N65" i="13"/>
  <c r="P65" i="13" s="1"/>
  <c r="C65" i="13"/>
  <c r="O64" i="13"/>
  <c r="N64" i="13"/>
  <c r="C64" i="13"/>
  <c r="O63" i="13"/>
  <c r="N63" i="13"/>
  <c r="C63" i="13"/>
  <c r="O62" i="13"/>
  <c r="N62" i="13"/>
  <c r="P62" i="13" s="1"/>
  <c r="C62" i="13"/>
  <c r="O61" i="13"/>
  <c r="N61" i="13"/>
  <c r="C61" i="13"/>
  <c r="O60" i="13"/>
  <c r="N60" i="13"/>
  <c r="C60" i="13"/>
  <c r="O59" i="13"/>
  <c r="N59" i="13"/>
  <c r="C59" i="13"/>
  <c r="O58" i="13"/>
  <c r="N58" i="13"/>
  <c r="P58" i="13" s="1"/>
  <c r="C58" i="13"/>
  <c r="O57" i="13"/>
  <c r="N57" i="13"/>
  <c r="P57" i="13" s="1"/>
  <c r="C57" i="13"/>
  <c r="O56" i="13"/>
  <c r="N56" i="13"/>
  <c r="P56" i="13" s="1"/>
  <c r="C56" i="13"/>
  <c r="O55" i="13"/>
  <c r="N55" i="13"/>
  <c r="C55" i="13"/>
  <c r="O54" i="13"/>
  <c r="N54" i="13"/>
  <c r="C54" i="13"/>
  <c r="O53" i="13"/>
  <c r="N53" i="13"/>
  <c r="C53" i="13"/>
  <c r="O52" i="13"/>
  <c r="N52" i="13"/>
  <c r="C52" i="13"/>
  <c r="O51" i="13"/>
  <c r="N51" i="13"/>
  <c r="C51" i="13"/>
  <c r="O50" i="13"/>
  <c r="N50" i="13"/>
  <c r="C50" i="13"/>
  <c r="O49" i="13"/>
  <c r="N49" i="13"/>
  <c r="C49" i="13"/>
  <c r="O48" i="13"/>
  <c r="N48" i="13"/>
  <c r="P48" i="13" s="1"/>
  <c r="C48" i="13"/>
  <c r="O47" i="13"/>
  <c r="N47" i="13"/>
  <c r="C47" i="13"/>
  <c r="O46" i="13"/>
  <c r="N46" i="13"/>
  <c r="C46" i="13"/>
  <c r="O45" i="13"/>
  <c r="N45" i="13"/>
  <c r="C45" i="13"/>
  <c r="O44" i="13"/>
  <c r="N44" i="13"/>
  <c r="C44" i="13"/>
  <c r="O43" i="13"/>
  <c r="N43" i="13"/>
  <c r="C43" i="13"/>
  <c r="O42" i="13"/>
  <c r="N42" i="13"/>
  <c r="C42" i="13"/>
  <c r="O41" i="13"/>
  <c r="N41" i="13"/>
  <c r="C41" i="13"/>
  <c r="O40" i="13"/>
  <c r="N40" i="13"/>
  <c r="C40" i="13"/>
  <c r="O39" i="13"/>
  <c r="N39" i="13"/>
  <c r="C39" i="13"/>
  <c r="O38" i="13"/>
  <c r="N38" i="13"/>
  <c r="C38" i="13"/>
  <c r="O37" i="13"/>
  <c r="N37" i="13"/>
  <c r="P37" i="13" s="1"/>
  <c r="C37" i="13"/>
  <c r="O36" i="13"/>
  <c r="N36" i="13"/>
  <c r="C36" i="13"/>
  <c r="O35" i="13"/>
  <c r="N35" i="13"/>
  <c r="C35" i="13"/>
  <c r="O34" i="13"/>
  <c r="N34" i="13"/>
  <c r="C34" i="13"/>
  <c r="O33" i="13"/>
  <c r="N33" i="13"/>
  <c r="C33" i="13"/>
  <c r="O32" i="13"/>
  <c r="N32" i="13"/>
  <c r="C32" i="13"/>
  <c r="O31" i="13"/>
  <c r="N31" i="13"/>
  <c r="C31" i="13"/>
  <c r="O30" i="13"/>
  <c r="N30" i="13"/>
  <c r="C30" i="13"/>
  <c r="O29" i="13"/>
  <c r="N29" i="13"/>
  <c r="C29" i="13"/>
  <c r="O28" i="13"/>
  <c r="N28" i="13"/>
  <c r="C28" i="13"/>
  <c r="O27" i="13"/>
  <c r="N27" i="13"/>
  <c r="C27" i="13"/>
  <c r="O26" i="13"/>
  <c r="N26" i="13"/>
  <c r="C26" i="13"/>
  <c r="O25" i="13"/>
  <c r="N25" i="13"/>
  <c r="C25" i="13"/>
  <c r="O24" i="13"/>
  <c r="N24" i="13"/>
  <c r="C24" i="13"/>
  <c r="O23" i="13"/>
  <c r="N23" i="13"/>
  <c r="C23" i="13"/>
  <c r="O22" i="13"/>
  <c r="N22" i="13"/>
  <c r="C22" i="13"/>
  <c r="O21" i="13"/>
  <c r="N21" i="13"/>
  <c r="C21" i="13"/>
  <c r="O20" i="13"/>
  <c r="N20" i="13"/>
  <c r="C20" i="13"/>
  <c r="O19" i="13"/>
  <c r="N19" i="13"/>
  <c r="C19" i="13"/>
  <c r="O18" i="13"/>
  <c r="N18" i="13"/>
  <c r="C18" i="13"/>
  <c r="O17" i="13"/>
  <c r="N17" i="13"/>
  <c r="C17" i="13"/>
  <c r="O16" i="13"/>
  <c r="N16" i="13"/>
  <c r="C16" i="13"/>
  <c r="O15" i="13"/>
  <c r="N15" i="13"/>
  <c r="C15" i="13"/>
  <c r="O14" i="13"/>
  <c r="N14" i="13"/>
  <c r="C14" i="13"/>
  <c r="O13" i="13"/>
  <c r="N13" i="13"/>
  <c r="C13" i="13"/>
  <c r="O12" i="13"/>
  <c r="N12" i="13"/>
  <c r="C12" i="13"/>
  <c r="O11" i="13"/>
  <c r="N11" i="13"/>
  <c r="C11" i="13"/>
  <c r="O10" i="13"/>
  <c r="N10" i="13"/>
  <c r="C10" i="13"/>
  <c r="O9" i="13"/>
  <c r="N9" i="13"/>
  <c r="P9" i="13" s="1"/>
  <c r="C9" i="13"/>
  <c r="O8" i="13"/>
  <c r="N8" i="13"/>
  <c r="C8" i="13"/>
  <c r="O7" i="13"/>
  <c r="N7" i="13"/>
  <c r="C7" i="13"/>
  <c r="O6" i="13"/>
  <c r="N6" i="13"/>
  <c r="C6" i="13"/>
  <c r="O5" i="13"/>
  <c r="N5" i="13"/>
  <c r="C5" i="13"/>
  <c r="O4" i="13"/>
  <c r="N4" i="13"/>
  <c r="C4" i="13"/>
  <c r="O3" i="13"/>
  <c r="N3" i="13"/>
  <c r="C3" i="13"/>
  <c r="O2" i="13"/>
  <c r="N2" i="13"/>
  <c r="C2" i="13"/>
  <c r="K280" i="5"/>
  <c r="L280" i="5"/>
  <c r="K5" i="5"/>
  <c r="L5" i="5"/>
  <c r="K6" i="5"/>
  <c r="L6" i="5"/>
  <c r="K34" i="5"/>
  <c r="L34" i="5"/>
  <c r="K8" i="5"/>
  <c r="L8" i="5"/>
  <c r="K9" i="5"/>
  <c r="L9" i="5"/>
  <c r="K10" i="5"/>
  <c r="L10" i="5"/>
  <c r="K11" i="5"/>
  <c r="L11" i="5"/>
  <c r="K12" i="5"/>
  <c r="L12" i="5"/>
  <c r="K157" i="5"/>
  <c r="L157" i="5"/>
  <c r="K14" i="5"/>
  <c r="L14" i="5"/>
  <c r="K155" i="5"/>
  <c r="L155" i="5"/>
  <c r="K16" i="5"/>
  <c r="L16" i="5"/>
  <c r="K70" i="5"/>
  <c r="L70" i="5"/>
  <c r="K18" i="5"/>
  <c r="L18" i="5"/>
  <c r="K19" i="5"/>
  <c r="L19" i="5"/>
  <c r="K20" i="5"/>
  <c r="L20" i="5"/>
  <c r="L192" i="5"/>
  <c r="K192" i="5"/>
  <c r="L173" i="5"/>
  <c r="K173" i="5"/>
  <c r="L301" i="5"/>
  <c r="K301" i="5"/>
  <c r="L245" i="5"/>
  <c r="K245" i="5"/>
  <c r="L299" i="5"/>
  <c r="K299" i="5"/>
  <c r="L298" i="5"/>
  <c r="K298" i="5"/>
  <c r="L297" i="5"/>
  <c r="K297" i="5"/>
  <c r="L296" i="5"/>
  <c r="K296" i="5"/>
  <c r="L258" i="5"/>
  <c r="K258" i="5"/>
  <c r="L294" i="5"/>
  <c r="K294" i="5"/>
  <c r="L293" i="5"/>
  <c r="K293" i="5"/>
  <c r="M293" i="5" s="1"/>
  <c r="L292" i="5"/>
  <c r="K292" i="5"/>
  <c r="L291" i="5"/>
  <c r="K291" i="5"/>
  <c r="M291" i="5" s="1"/>
  <c r="L290" i="5"/>
  <c r="K290" i="5"/>
  <c r="L289" i="5"/>
  <c r="K289" i="5"/>
  <c r="L89" i="5"/>
  <c r="K89" i="5"/>
  <c r="L203" i="5"/>
  <c r="K203" i="5"/>
  <c r="L286" i="5"/>
  <c r="K286" i="5"/>
  <c r="L91" i="5"/>
  <c r="K91" i="5"/>
  <c r="L284" i="5"/>
  <c r="K284" i="5"/>
  <c r="L226" i="5"/>
  <c r="K226" i="5"/>
  <c r="L52" i="5"/>
  <c r="K52" i="5"/>
  <c r="L281" i="5"/>
  <c r="K281" i="5"/>
  <c r="L79" i="5"/>
  <c r="K79" i="5"/>
  <c r="L237" i="5"/>
  <c r="K237" i="5"/>
  <c r="L278" i="5"/>
  <c r="K278" i="5"/>
  <c r="L217" i="5"/>
  <c r="K217" i="5"/>
  <c r="L276" i="5"/>
  <c r="K276" i="5"/>
  <c r="L133" i="5"/>
  <c r="K133" i="5"/>
  <c r="L270" i="5"/>
  <c r="K270" i="5"/>
  <c r="L273" i="5"/>
  <c r="K273" i="5"/>
  <c r="L272" i="5"/>
  <c r="K272" i="5"/>
  <c r="L271" i="5"/>
  <c r="K271" i="5"/>
  <c r="L17" i="5"/>
  <c r="K17" i="5"/>
  <c r="L236" i="5"/>
  <c r="K236" i="5"/>
  <c r="L268" i="5"/>
  <c r="K268" i="5"/>
  <c r="L267" i="5"/>
  <c r="K267" i="5"/>
  <c r="L266" i="5"/>
  <c r="K266" i="5"/>
  <c r="L265" i="5"/>
  <c r="K265" i="5"/>
  <c r="L264" i="5"/>
  <c r="K264" i="5"/>
  <c r="L263" i="5"/>
  <c r="K263" i="5"/>
  <c r="L262" i="5"/>
  <c r="K262" i="5"/>
  <c r="L261" i="5"/>
  <c r="K261" i="5"/>
  <c r="L260" i="5"/>
  <c r="K260" i="5"/>
  <c r="L209" i="5"/>
  <c r="K209" i="5"/>
  <c r="L142" i="5"/>
  <c r="K142" i="5"/>
  <c r="L257" i="5"/>
  <c r="K257" i="5"/>
  <c r="L130" i="5"/>
  <c r="K130" i="5"/>
  <c r="L255" i="5"/>
  <c r="K255" i="5"/>
  <c r="L254" i="5"/>
  <c r="K254" i="5"/>
  <c r="L253" i="5"/>
  <c r="K253" i="5"/>
  <c r="L252" i="5"/>
  <c r="K252" i="5"/>
  <c r="L251" i="5"/>
  <c r="K251" i="5"/>
  <c r="L250" i="5"/>
  <c r="K250" i="5"/>
  <c r="L95" i="5"/>
  <c r="K95" i="5"/>
  <c r="L248" i="5"/>
  <c r="K248" i="5"/>
  <c r="L247" i="5"/>
  <c r="K247" i="5"/>
  <c r="L246" i="5"/>
  <c r="K246" i="5"/>
  <c r="L137" i="5"/>
  <c r="K137" i="5"/>
  <c r="L181" i="5"/>
  <c r="K181" i="5"/>
  <c r="L243" i="5"/>
  <c r="K243" i="5"/>
  <c r="L242" i="5"/>
  <c r="K242" i="5"/>
  <c r="L241" i="5"/>
  <c r="K241" i="5"/>
  <c r="M241" i="5" s="1"/>
  <c r="L240" i="5"/>
  <c r="K240" i="5"/>
  <c r="L239" i="5"/>
  <c r="K239" i="5"/>
  <c r="M239" i="5" s="1"/>
  <c r="L63" i="5"/>
  <c r="K63" i="5"/>
  <c r="L39" i="5"/>
  <c r="K39" i="5"/>
  <c r="L238" i="5"/>
  <c r="K238" i="5"/>
  <c r="L235" i="5"/>
  <c r="K235" i="5"/>
  <c r="L234" i="5"/>
  <c r="K234" i="5"/>
  <c r="L233" i="5"/>
  <c r="K233" i="5"/>
  <c r="L232" i="5"/>
  <c r="K232" i="5"/>
  <c r="L231" i="5"/>
  <c r="K231" i="5"/>
  <c r="M231" i="5" s="1"/>
  <c r="L230" i="5"/>
  <c r="K230" i="5"/>
  <c r="L229" i="5"/>
  <c r="K229" i="5"/>
  <c r="L228" i="5"/>
  <c r="K228" i="5"/>
  <c r="L166" i="5"/>
  <c r="K166" i="5"/>
  <c r="L186" i="5"/>
  <c r="K186" i="5"/>
  <c r="L225" i="5"/>
  <c r="K225" i="5"/>
  <c r="M225" i="5" s="1"/>
  <c r="L224" i="5"/>
  <c r="K224" i="5"/>
  <c r="L223" i="5"/>
  <c r="K223" i="5"/>
  <c r="M223" i="5" s="1"/>
  <c r="L222" i="5"/>
  <c r="K222" i="5"/>
  <c r="L49" i="5"/>
  <c r="K49" i="5"/>
  <c r="L285" i="5"/>
  <c r="K285" i="5"/>
  <c r="L219" i="5"/>
  <c r="K219" i="5"/>
  <c r="L218" i="5"/>
  <c r="K218" i="5"/>
  <c r="L244" i="5"/>
  <c r="K244" i="5"/>
  <c r="M244" i="5" s="1"/>
  <c r="L287" i="5"/>
  <c r="K287" i="5"/>
  <c r="L220" i="5"/>
  <c r="K220" i="5"/>
  <c r="L51" i="5"/>
  <c r="K51" i="5"/>
  <c r="L213" i="5"/>
  <c r="K213" i="5"/>
  <c r="M213" i="5" s="1"/>
  <c r="L44" i="5"/>
  <c r="K44" i="5"/>
  <c r="L211" i="5"/>
  <c r="K211" i="5"/>
  <c r="L210" i="5"/>
  <c r="K210" i="5"/>
  <c r="L221" i="5"/>
  <c r="K221" i="5"/>
  <c r="L279" i="5"/>
  <c r="K279" i="5"/>
  <c r="L207" i="5"/>
  <c r="K207" i="5"/>
  <c r="L215" i="5"/>
  <c r="K215" i="5"/>
  <c r="L205" i="5"/>
  <c r="K205" i="5"/>
  <c r="M205" i="5" s="1"/>
  <c r="L74" i="5"/>
  <c r="K74" i="5"/>
  <c r="L288" i="5"/>
  <c r="K288" i="5"/>
  <c r="L202" i="5"/>
  <c r="K202" i="5"/>
  <c r="L201" i="5"/>
  <c r="K201" i="5"/>
  <c r="L200" i="5"/>
  <c r="K200" i="5"/>
  <c r="L206" i="5"/>
  <c r="K206" i="5"/>
  <c r="L198" i="5"/>
  <c r="K198" i="5"/>
  <c r="L147" i="5"/>
  <c r="K147" i="5"/>
  <c r="L196" i="5"/>
  <c r="K196" i="5"/>
  <c r="L195" i="5"/>
  <c r="K195" i="5"/>
  <c r="L194" i="5"/>
  <c r="K194" i="5"/>
  <c r="L193" i="5"/>
  <c r="K193" i="5"/>
  <c r="L4" i="5"/>
  <c r="K4" i="5"/>
  <c r="L36" i="5"/>
  <c r="K36" i="5"/>
  <c r="M36" i="5" s="1"/>
  <c r="L190" i="5"/>
  <c r="K190" i="5"/>
  <c r="L189" i="5"/>
  <c r="K189" i="5"/>
  <c r="L188" i="5"/>
  <c r="K188" i="5"/>
  <c r="L187" i="5"/>
  <c r="K187" i="5"/>
  <c r="L282" i="5"/>
  <c r="K282" i="5"/>
  <c r="L185" i="5"/>
  <c r="K185" i="5"/>
  <c r="L184" i="5"/>
  <c r="K184" i="5"/>
  <c r="L183" i="5"/>
  <c r="K183" i="5"/>
  <c r="L182" i="5"/>
  <c r="K182" i="5"/>
  <c r="L249" i="5"/>
  <c r="K249" i="5"/>
  <c r="M249" i="5" s="1"/>
  <c r="L101" i="5"/>
  <c r="K101" i="5"/>
  <c r="L161" i="5"/>
  <c r="K161" i="5"/>
  <c r="L178" i="5"/>
  <c r="K178" i="5"/>
  <c r="L177" i="5"/>
  <c r="K177" i="5"/>
  <c r="L176" i="5"/>
  <c r="K176" i="5"/>
  <c r="L175" i="5"/>
  <c r="K175" i="5"/>
  <c r="M175" i="5" s="1"/>
  <c r="L174" i="5"/>
  <c r="K174" i="5"/>
  <c r="L204" i="5"/>
  <c r="K204" i="5"/>
  <c r="M204" i="5" s="1"/>
  <c r="L82" i="5"/>
  <c r="K82" i="5"/>
  <c r="L171" i="5"/>
  <c r="K171" i="5"/>
  <c r="M171" i="5" s="1"/>
  <c r="L170" i="5"/>
  <c r="K170" i="5"/>
  <c r="L169" i="5"/>
  <c r="K169" i="5"/>
  <c r="L168" i="5"/>
  <c r="K168" i="5"/>
  <c r="L167" i="5"/>
  <c r="K167" i="5"/>
  <c r="L303" i="5"/>
  <c r="K303" i="5"/>
  <c r="L165" i="5"/>
  <c r="K165" i="5"/>
  <c r="L164" i="5"/>
  <c r="K164" i="5"/>
  <c r="L163" i="5"/>
  <c r="K163" i="5"/>
  <c r="L162" i="5"/>
  <c r="K162" i="5"/>
  <c r="L119" i="5"/>
  <c r="K119" i="5"/>
  <c r="L160" i="5"/>
  <c r="K160" i="5"/>
  <c r="L159" i="5"/>
  <c r="K159" i="5"/>
  <c r="L115" i="5"/>
  <c r="K115" i="5"/>
  <c r="L125" i="5"/>
  <c r="K125" i="5"/>
  <c r="L139" i="5"/>
  <c r="K139" i="5"/>
  <c r="L212" i="5"/>
  <c r="K212" i="5"/>
  <c r="L154" i="5"/>
  <c r="K154" i="5"/>
  <c r="L153" i="5"/>
  <c r="K153" i="5"/>
  <c r="L37" i="5"/>
  <c r="K37" i="5"/>
  <c r="L274" i="5"/>
  <c r="K274" i="5"/>
  <c r="L150" i="5"/>
  <c r="K150" i="5"/>
  <c r="L227" i="5"/>
  <c r="K227" i="5"/>
  <c r="L15" i="5"/>
  <c r="K15" i="5"/>
  <c r="L132" i="5"/>
  <c r="K132" i="5"/>
  <c r="L146" i="5"/>
  <c r="K146" i="5"/>
  <c r="L145" i="5"/>
  <c r="K145" i="5"/>
  <c r="L144" i="5"/>
  <c r="K144" i="5"/>
  <c r="L143" i="5"/>
  <c r="K143" i="5"/>
  <c r="L283" i="5"/>
  <c r="K283" i="5"/>
  <c r="L141" i="5"/>
  <c r="K141" i="5"/>
  <c r="L140" i="5"/>
  <c r="K140" i="5"/>
  <c r="L65" i="5"/>
  <c r="K65" i="5"/>
  <c r="L138" i="5"/>
  <c r="K138" i="5"/>
  <c r="L216" i="5"/>
  <c r="K216" i="5"/>
  <c r="L136" i="5"/>
  <c r="K136" i="5"/>
  <c r="L135" i="5"/>
  <c r="K135" i="5"/>
  <c r="L199" i="5"/>
  <c r="K199" i="5"/>
  <c r="L256" i="5"/>
  <c r="K256" i="5"/>
  <c r="L121" i="5"/>
  <c r="K121" i="5"/>
  <c r="L131" i="5"/>
  <c r="K131" i="5"/>
  <c r="L13" i="5"/>
  <c r="K13" i="5"/>
  <c r="L129" i="5"/>
  <c r="K129" i="5"/>
  <c r="L128" i="5"/>
  <c r="K128" i="5"/>
  <c r="L127" i="5"/>
  <c r="K127" i="5"/>
  <c r="L126" i="5"/>
  <c r="K126" i="5"/>
  <c r="L156" i="5"/>
  <c r="K156" i="5"/>
  <c r="L124" i="5"/>
  <c r="K124" i="5"/>
  <c r="L123" i="5"/>
  <c r="K123" i="5"/>
  <c r="L122" i="5"/>
  <c r="K122" i="5"/>
  <c r="L172" i="5"/>
  <c r="K172" i="5"/>
  <c r="L120" i="5"/>
  <c r="K120" i="5"/>
  <c r="L275" i="5"/>
  <c r="K275" i="5"/>
  <c r="L118" i="5"/>
  <c r="K118" i="5"/>
  <c r="L191" i="5"/>
  <c r="K191" i="5"/>
  <c r="M191" i="5" s="1"/>
  <c r="L214" i="5"/>
  <c r="K214" i="5"/>
  <c r="L151" i="5"/>
  <c r="K151" i="5"/>
  <c r="M151" i="5" s="1"/>
  <c r="L114" i="5"/>
  <c r="K114" i="5"/>
  <c r="L113" i="5"/>
  <c r="K113" i="5"/>
  <c r="L112" i="5"/>
  <c r="K112" i="5"/>
  <c r="L111" i="5"/>
  <c r="K111" i="5"/>
  <c r="L110" i="5"/>
  <c r="K110" i="5"/>
  <c r="L300" i="5"/>
  <c r="K300" i="5"/>
  <c r="L108" i="5"/>
  <c r="K108" i="5"/>
  <c r="M108" i="5" s="1"/>
  <c r="L179" i="5"/>
  <c r="K179" i="5"/>
  <c r="L117" i="5"/>
  <c r="K117" i="5"/>
  <c r="M117" i="5" s="1"/>
  <c r="L105" i="5"/>
  <c r="K105" i="5"/>
  <c r="L197" i="5"/>
  <c r="K197" i="5"/>
  <c r="M197" i="5" s="1"/>
  <c r="L104" i="5"/>
  <c r="K104" i="5"/>
  <c r="L102" i="5"/>
  <c r="K102" i="5"/>
  <c r="L152" i="5"/>
  <c r="K152" i="5"/>
  <c r="M152" i="5" s="1"/>
  <c r="L100" i="5"/>
  <c r="K100" i="5"/>
  <c r="L99" i="5"/>
  <c r="K99" i="5"/>
  <c r="M99" i="5" s="1"/>
  <c r="L98" i="5"/>
  <c r="K98" i="5"/>
  <c r="L97" i="5"/>
  <c r="K97" i="5"/>
  <c r="L96" i="5"/>
  <c r="K96" i="5"/>
  <c r="L106" i="5"/>
  <c r="K106" i="5"/>
  <c r="L94" i="5"/>
  <c r="K94" i="5"/>
  <c r="L93" i="5"/>
  <c r="K93" i="5"/>
  <c r="M93" i="5" s="1"/>
  <c r="L92" i="5"/>
  <c r="K92" i="5"/>
  <c r="L208" i="5"/>
  <c r="K208" i="5"/>
  <c r="L90" i="5"/>
  <c r="K90" i="5"/>
  <c r="L302" i="5"/>
  <c r="K302" i="5"/>
  <c r="L148" i="5"/>
  <c r="K148" i="5"/>
  <c r="L87" i="5"/>
  <c r="K87" i="5"/>
  <c r="L180" i="5"/>
  <c r="K180" i="5"/>
  <c r="L85" i="5"/>
  <c r="K85" i="5"/>
  <c r="M85" i="5" s="1"/>
  <c r="L84" i="5"/>
  <c r="K84" i="5"/>
  <c r="L83" i="5"/>
  <c r="K83" i="5"/>
  <c r="M83" i="5" s="1"/>
  <c r="L67" i="5"/>
  <c r="K67" i="5"/>
  <c r="L81" i="5"/>
  <c r="K81" i="5"/>
  <c r="L80" i="5"/>
  <c r="K80" i="5"/>
  <c r="L277" i="5"/>
  <c r="K277" i="5"/>
  <c r="L78" i="5"/>
  <c r="K78" i="5"/>
  <c r="L77" i="5"/>
  <c r="K77" i="5"/>
  <c r="L76" i="5"/>
  <c r="K76" i="5"/>
  <c r="L75" i="5"/>
  <c r="K75" i="5"/>
  <c r="M75" i="5" s="1"/>
  <c r="L109" i="5"/>
  <c r="K109" i="5"/>
  <c r="L73" i="5"/>
  <c r="K73" i="5"/>
  <c r="L72" i="5"/>
  <c r="K72" i="5"/>
  <c r="L71" i="5"/>
  <c r="K71" i="5"/>
  <c r="L33" i="5"/>
  <c r="K33" i="5"/>
  <c r="L69" i="5"/>
  <c r="K69" i="5"/>
  <c r="M69" i="5" s="1"/>
  <c r="L68" i="5"/>
  <c r="K68" i="5"/>
  <c r="L107" i="5"/>
  <c r="K107" i="5"/>
  <c r="M107" i="5" s="1"/>
  <c r="L66" i="5"/>
  <c r="K66" i="5"/>
  <c r="L103" i="5"/>
  <c r="K103" i="5"/>
  <c r="L64" i="5"/>
  <c r="K64" i="5"/>
  <c r="M64" i="5" s="1"/>
  <c r="L116" i="5"/>
  <c r="K116" i="5"/>
  <c r="L62" i="5"/>
  <c r="K62" i="5"/>
  <c r="L61" i="5"/>
  <c r="K61" i="5"/>
  <c r="L60" i="5"/>
  <c r="K60" i="5"/>
  <c r="L59" i="5"/>
  <c r="K59" i="5"/>
  <c r="L58" i="5"/>
  <c r="K58" i="5"/>
  <c r="L57" i="5"/>
  <c r="K57" i="5"/>
  <c r="L56" i="5"/>
  <c r="K56" i="5"/>
  <c r="L55" i="5"/>
  <c r="K55" i="5"/>
  <c r="L54" i="5"/>
  <c r="K54" i="5"/>
  <c r="L53" i="5"/>
  <c r="K53" i="5"/>
  <c r="L86" i="5"/>
  <c r="K86" i="5"/>
  <c r="L27" i="5"/>
  <c r="K27" i="5"/>
  <c r="L50" i="5"/>
  <c r="K50" i="5"/>
  <c r="L158" i="5"/>
  <c r="K158" i="5"/>
  <c r="L48" i="5"/>
  <c r="K48" i="5"/>
  <c r="L47" i="5"/>
  <c r="K47" i="5"/>
  <c r="L46" i="5"/>
  <c r="K46" i="5"/>
  <c r="L45" i="5"/>
  <c r="K45" i="5"/>
  <c r="L7" i="5"/>
  <c r="K7" i="5"/>
  <c r="L43" i="5"/>
  <c r="K43" i="5"/>
  <c r="L42" i="5"/>
  <c r="K42" i="5"/>
  <c r="L41" i="5"/>
  <c r="K41" i="5"/>
  <c r="L40" i="5"/>
  <c r="K40" i="5"/>
  <c r="L259" i="5"/>
  <c r="K259" i="5"/>
  <c r="L38" i="5"/>
  <c r="K38" i="5"/>
  <c r="L149" i="5"/>
  <c r="K149" i="5"/>
  <c r="L269" i="5"/>
  <c r="K269" i="5"/>
  <c r="L35" i="5"/>
  <c r="K35" i="5"/>
  <c r="L88" i="5"/>
  <c r="K88" i="5"/>
  <c r="L295" i="5"/>
  <c r="K295" i="5"/>
  <c r="L32" i="5"/>
  <c r="K32" i="5"/>
  <c r="L31" i="5"/>
  <c r="K31" i="5"/>
  <c r="L30" i="5"/>
  <c r="K30" i="5"/>
  <c r="L29" i="5"/>
  <c r="K29" i="5"/>
  <c r="L28" i="5"/>
  <c r="K28" i="5"/>
  <c r="L134" i="5"/>
  <c r="K134" i="5"/>
  <c r="L26" i="5"/>
  <c r="K26" i="5"/>
  <c r="L25" i="5"/>
  <c r="K25" i="5"/>
  <c r="L24" i="5"/>
  <c r="K24" i="5"/>
  <c r="L23" i="5"/>
  <c r="K23" i="5"/>
  <c r="L22" i="5"/>
  <c r="K22" i="5"/>
  <c r="L21" i="5"/>
  <c r="K21" i="5"/>
  <c r="P166" i="13" l="1"/>
  <c r="P45" i="13"/>
  <c r="P60" i="13"/>
  <c r="P36" i="13"/>
  <c r="P113" i="13"/>
  <c r="P174" i="13"/>
  <c r="P16" i="13"/>
  <c r="P105" i="13"/>
  <c r="P44" i="13"/>
  <c r="P59" i="13"/>
  <c r="P63" i="13"/>
  <c r="P88" i="13"/>
  <c r="P116" i="13"/>
  <c r="P128" i="13"/>
  <c r="P148" i="13"/>
  <c r="P168" i="13"/>
  <c r="P176" i="13"/>
  <c r="P208" i="13"/>
  <c r="P216" i="13"/>
  <c r="P224" i="13"/>
  <c r="P232" i="13"/>
  <c r="P240" i="13"/>
  <c r="P248" i="13"/>
  <c r="P256" i="13"/>
  <c r="P264" i="13"/>
  <c r="P272" i="13"/>
  <c r="P280" i="13"/>
  <c r="P288" i="13"/>
  <c r="P300" i="13"/>
  <c r="P53" i="13"/>
  <c r="P72" i="13"/>
  <c r="P121" i="13"/>
  <c r="P136" i="13"/>
  <c r="P144" i="13"/>
  <c r="P145" i="13"/>
  <c r="P152" i="13"/>
  <c r="P8" i="13"/>
  <c r="P17" i="13"/>
  <c r="P21" i="13"/>
  <c r="P22" i="13"/>
  <c r="P23" i="13"/>
  <c r="P25" i="13"/>
  <c r="P29" i="13"/>
  <c r="P80" i="13"/>
  <c r="P89" i="13"/>
  <c r="P93" i="13"/>
  <c r="P94" i="13"/>
  <c r="P95" i="13"/>
  <c r="P96" i="13"/>
  <c r="P98" i="13"/>
  <c r="P99" i="13"/>
  <c r="P100" i="13"/>
  <c r="P160" i="13"/>
  <c r="P189" i="13"/>
  <c r="P194" i="13"/>
  <c r="P201" i="13"/>
  <c r="P218" i="13"/>
  <c r="P221" i="13"/>
  <c r="P226" i="13"/>
  <c r="P20" i="13"/>
  <c r="P28" i="13"/>
  <c r="P32" i="13"/>
  <c r="P33" i="13"/>
  <c r="P61" i="13"/>
  <c r="P68" i="13"/>
  <c r="P69" i="13"/>
  <c r="P92" i="13"/>
  <c r="P97" i="13"/>
  <c r="P101" i="13"/>
  <c r="P102" i="13"/>
  <c r="P103" i="13"/>
  <c r="P104" i="13"/>
  <c r="P106" i="13"/>
  <c r="P107" i="13"/>
  <c r="P132" i="13"/>
  <c r="P137" i="13"/>
  <c r="P138" i="13"/>
  <c r="P139" i="13"/>
  <c r="P141" i="13"/>
  <c r="P164" i="13"/>
  <c r="P173" i="13"/>
  <c r="P181" i="13"/>
  <c r="P182" i="13"/>
  <c r="P183" i="13"/>
  <c r="P184" i="13"/>
  <c r="P185" i="13"/>
  <c r="P190" i="13"/>
  <c r="P191" i="13"/>
  <c r="P192" i="13"/>
  <c r="P193" i="13"/>
  <c r="P197" i="13"/>
  <c r="P199" i="13"/>
  <c r="P200" i="13"/>
  <c r="P234" i="13"/>
  <c r="P237" i="13"/>
  <c r="P242" i="13"/>
  <c r="P250" i="13"/>
  <c r="P253" i="13"/>
  <c r="P258" i="13"/>
  <c r="P266" i="13"/>
  <c r="P269" i="13"/>
  <c r="P274" i="13"/>
  <c r="P282" i="13"/>
  <c r="P285" i="13"/>
  <c r="P290" i="13"/>
  <c r="P4" i="13"/>
  <c r="P5" i="13"/>
  <c r="P40" i="13"/>
  <c r="P41" i="13"/>
  <c r="P46" i="13"/>
  <c r="P47" i="13"/>
  <c r="P76" i="13"/>
  <c r="P77" i="13"/>
  <c r="P109" i="13"/>
  <c r="P110" i="13"/>
  <c r="P111" i="13"/>
  <c r="P112" i="13"/>
  <c r="P114" i="13"/>
  <c r="P115" i="13"/>
  <c r="P149" i="13"/>
  <c r="P12" i="13"/>
  <c r="P13" i="13"/>
  <c r="P49" i="13"/>
  <c r="P50" i="13"/>
  <c r="P51" i="13"/>
  <c r="P52" i="13"/>
  <c r="P54" i="13"/>
  <c r="P55" i="13"/>
  <c r="P84" i="13"/>
  <c r="P85" i="13"/>
  <c r="P117" i="13"/>
  <c r="P118" i="13"/>
  <c r="P119" i="13"/>
  <c r="P120" i="13"/>
  <c r="P122" i="13"/>
  <c r="P123" i="13"/>
  <c r="P156" i="13"/>
  <c r="P157" i="13"/>
  <c r="P202" i="13"/>
  <c r="P205" i="13"/>
  <c r="P210" i="13"/>
  <c r="P6" i="13"/>
  <c r="P7" i="13"/>
  <c r="P14" i="13"/>
  <c r="P15" i="13"/>
  <c r="P24" i="13"/>
  <c r="P26" i="13"/>
  <c r="P27" i="13"/>
  <c r="P34" i="13"/>
  <c r="P35" i="13"/>
  <c r="P42" i="13"/>
  <c r="P43" i="13"/>
  <c r="P70" i="13"/>
  <c r="P71" i="13"/>
  <c r="P78" i="13"/>
  <c r="P79" i="13"/>
  <c r="P86" i="13"/>
  <c r="P87" i="13"/>
  <c r="P130" i="13"/>
  <c r="P131" i="13"/>
  <c r="P140" i="13"/>
  <c r="P142" i="13"/>
  <c r="P143" i="13"/>
  <c r="P150" i="13"/>
  <c r="P151" i="13"/>
  <c r="P158" i="13"/>
  <c r="P159" i="13"/>
  <c r="P170" i="13"/>
  <c r="P171" i="13"/>
  <c r="P172" i="13"/>
  <c r="P186" i="13"/>
  <c r="P187" i="13"/>
  <c r="P188" i="13"/>
  <c r="P198" i="13"/>
  <c r="P203" i="13"/>
  <c r="P204" i="13"/>
  <c r="P214" i="13"/>
  <c r="P219" i="13"/>
  <c r="P220" i="13"/>
  <c r="P230" i="13"/>
  <c r="P235" i="13"/>
  <c r="P236" i="13"/>
  <c r="P246" i="13"/>
  <c r="P251" i="13"/>
  <c r="P252" i="13"/>
  <c r="P262" i="13"/>
  <c r="P267" i="13"/>
  <c r="P268" i="13"/>
  <c r="P278" i="13"/>
  <c r="P283" i="13"/>
  <c r="P284" i="13"/>
  <c r="P294" i="13"/>
  <c r="P298" i="13"/>
  <c r="P2" i="13"/>
  <c r="P3" i="13"/>
  <c r="P10" i="13"/>
  <c r="P11" i="13"/>
  <c r="P18" i="13"/>
  <c r="P19" i="13"/>
  <c r="P30" i="13"/>
  <c r="P31" i="13"/>
  <c r="P38" i="13"/>
  <c r="P39" i="13"/>
  <c r="P64" i="13"/>
  <c r="P66" i="13"/>
  <c r="P67" i="13"/>
  <c r="P74" i="13"/>
  <c r="P75" i="13"/>
  <c r="P82" i="13"/>
  <c r="P83" i="13"/>
  <c r="P90" i="13"/>
  <c r="P91" i="13"/>
  <c r="P124" i="13"/>
  <c r="P126" i="13"/>
  <c r="P127" i="13"/>
  <c r="P134" i="13"/>
  <c r="P135" i="13"/>
  <c r="P146" i="13"/>
  <c r="P147" i="13"/>
  <c r="P154" i="13"/>
  <c r="P155" i="13"/>
  <c r="P162" i="13"/>
  <c r="P163" i="13"/>
  <c r="P178" i="13"/>
  <c r="P179" i="13"/>
  <c r="P180" i="13"/>
  <c r="P195" i="13"/>
  <c r="P196" i="13"/>
  <c r="P206" i="13"/>
  <c r="P211" i="13"/>
  <c r="P212" i="13"/>
  <c r="P222" i="13"/>
  <c r="P227" i="13"/>
  <c r="P228" i="13"/>
  <c r="P238" i="13"/>
  <c r="P243" i="13"/>
  <c r="P244" i="13"/>
  <c r="P254" i="13"/>
  <c r="P259" i="13"/>
  <c r="P260" i="13"/>
  <c r="P270" i="13"/>
  <c r="P275" i="13"/>
  <c r="P276" i="13"/>
  <c r="P286" i="13"/>
  <c r="P291" i="13"/>
  <c r="P292" i="13"/>
  <c r="P296" i="13"/>
  <c r="M29" i="5"/>
  <c r="M26" i="5"/>
  <c r="M149" i="5"/>
  <c r="M72" i="5"/>
  <c r="M285" i="5"/>
  <c r="M20" i="5"/>
  <c r="M18" i="5"/>
  <c r="M16" i="5"/>
  <c r="M14" i="5"/>
  <c r="M12" i="5"/>
  <c r="M10" i="5"/>
  <c r="M8" i="5"/>
  <c r="M6" i="5"/>
  <c r="M280" i="5"/>
  <c r="M88" i="5"/>
  <c r="M7" i="5"/>
  <c r="M48" i="5"/>
  <c r="M86" i="5"/>
  <c r="M216" i="5"/>
  <c r="M125" i="5"/>
  <c r="M165" i="5"/>
  <c r="M261" i="5"/>
  <c r="M21" i="5"/>
  <c r="M25" i="5"/>
  <c r="M112" i="5"/>
  <c r="M122" i="5"/>
  <c r="M124" i="5"/>
  <c r="M128" i="5"/>
  <c r="M136" i="5"/>
  <c r="M138" i="5"/>
  <c r="M140" i="5"/>
  <c r="M144" i="5"/>
  <c r="M15" i="5"/>
  <c r="M37" i="5"/>
  <c r="M115" i="5"/>
  <c r="M160" i="5"/>
  <c r="M222" i="5"/>
  <c r="M232" i="5"/>
  <c r="M238" i="5"/>
  <c r="M240" i="5"/>
  <c r="M181" i="5"/>
  <c r="M246" i="5"/>
  <c r="M248" i="5"/>
  <c r="M252" i="5"/>
  <c r="M254" i="5"/>
  <c r="M262" i="5"/>
  <c r="M264" i="5"/>
  <c r="M268" i="5"/>
  <c r="M272" i="5"/>
  <c r="M276" i="5"/>
  <c r="M278" i="5"/>
  <c r="M79" i="5"/>
  <c r="M52" i="5"/>
  <c r="M89" i="5"/>
  <c r="M296" i="5"/>
  <c r="M245" i="5"/>
  <c r="M43" i="5"/>
  <c r="M27" i="5"/>
  <c r="M53" i="5"/>
  <c r="M61" i="5"/>
  <c r="M96" i="5"/>
  <c r="M120" i="5"/>
  <c r="M228" i="5"/>
  <c r="M289" i="5"/>
  <c r="M70" i="5"/>
  <c r="M157" i="5"/>
  <c r="M9" i="5"/>
  <c r="M34" i="5"/>
  <c r="M32" i="5"/>
  <c r="M56" i="5"/>
  <c r="M58" i="5"/>
  <c r="M60" i="5"/>
  <c r="M73" i="5"/>
  <c r="M139" i="5"/>
  <c r="M185" i="5"/>
  <c r="M147" i="5"/>
  <c r="M95" i="5"/>
  <c r="M260" i="5"/>
  <c r="M19" i="5"/>
  <c r="M155" i="5"/>
  <c r="M11" i="5"/>
  <c r="M5" i="5"/>
  <c r="M35" i="5"/>
  <c r="M109" i="5"/>
  <c r="M76" i="5"/>
  <c r="M80" i="5"/>
  <c r="M84" i="5"/>
  <c r="M148" i="5"/>
  <c r="M90" i="5"/>
  <c r="M92" i="5"/>
  <c r="M105" i="5"/>
  <c r="M172" i="5"/>
  <c r="M131" i="5"/>
  <c r="M256" i="5"/>
  <c r="M274" i="5"/>
  <c r="M153" i="5"/>
  <c r="M282" i="5"/>
  <c r="M188" i="5"/>
  <c r="M190" i="5"/>
  <c r="M4" i="5"/>
  <c r="M74" i="5"/>
  <c r="M279" i="5"/>
  <c r="M210" i="5"/>
  <c r="M51" i="5"/>
  <c r="M287" i="5"/>
  <c r="M229" i="5"/>
  <c r="M255" i="5"/>
  <c r="M257" i="5"/>
  <c r="M263" i="5"/>
  <c r="M271" i="5"/>
  <c r="M273" i="5"/>
  <c r="M281" i="5"/>
  <c r="M91" i="5"/>
  <c r="M40" i="5"/>
  <c r="M158" i="5"/>
  <c r="M66" i="5"/>
  <c r="M81" i="5"/>
  <c r="M98" i="5"/>
  <c r="M179" i="5"/>
  <c r="M113" i="5"/>
  <c r="M214" i="5"/>
  <c r="M156" i="5"/>
  <c r="M13" i="5"/>
  <c r="M65" i="5"/>
  <c r="M143" i="5"/>
  <c r="M227" i="5"/>
  <c r="M119" i="5"/>
  <c r="M170" i="5"/>
  <c r="M174" i="5"/>
  <c r="M187" i="5"/>
  <c r="M201" i="5"/>
  <c r="M39" i="5"/>
  <c r="M236" i="5"/>
  <c r="M290" i="5"/>
  <c r="M294" i="5"/>
  <c r="M192" i="5"/>
  <c r="M28" i="5"/>
  <c r="M295" i="5"/>
  <c r="M42" i="5"/>
  <c r="M46" i="5"/>
  <c r="M57" i="5"/>
  <c r="M302" i="5"/>
  <c r="M283" i="5"/>
  <c r="M177" i="5"/>
  <c r="M288" i="5"/>
  <c r="M221" i="5"/>
  <c r="M44" i="5"/>
  <c r="M230" i="5"/>
  <c r="M137" i="5"/>
  <c r="M217" i="5"/>
  <c r="M284" i="5"/>
  <c r="M298" i="5"/>
  <c r="M173" i="5"/>
  <c r="M24" i="5"/>
  <c r="M134" i="5"/>
  <c r="M269" i="5"/>
  <c r="M41" i="5"/>
  <c r="M45" i="5"/>
  <c r="M50" i="5"/>
  <c r="M59" i="5"/>
  <c r="M103" i="5"/>
  <c r="M68" i="5"/>
  <c r="M77" i="5"/>
  <c r="M67" i="5"/>
  <c r="M208" i="5"/>
  <c r="M97" i="5"/>
  <c r="M100" i="5"/>
  <c r="M300" i="5"/>
  <c r="M114" i="5"/>
  <c r="M123" i="5"/>
  <c r="M129" i="5"/>
  <c r="M121" i="5"/>
  <c r="M141" i="5"/>
  <c r="M145" i="5"/>
  <c r="M150" i="5"/>
  <c r="M159" i="5"/>
  <c r="M169" i="5"/>
  <c r="M82" i="5"/>
  <c r="M176" i="5"/>
  <c r="M189" i="5"/>
  <c r="M193" i="5"/>
  <c r="M202" i="5"/>
  <c r="M211" i="5"/>
  <c r="M220" i="5"/>
  <c r="M49" i="5"/>
  <c r="M224" i="5"/>
  <c r="M233" i="5"/>
  <c r="M63" i="5"/>
  <c r="M247" i="5"/>
  <c r="M253" i="5"/>
  <c r="M130" i="5"/>
  <c r="M265" i="5"/>
  <c r="M17" i="5"/>
  <c r="M237" i="5"/>
  <c r="M226" i="5"/>
  <c r="M292" i="5"/>
  <c r="M297" i="5"/>
  <c r="M301" i="5"/>
  <c r="M47" i="5"/>
  <c r="M54" i="5"/>
  <c r="M55" i="5"/>
  <c r="M62" i="5"/>
  <c r="M116" i="5"/>
  <c r="M33" i="5"/>
  <c r="M71" i="5"/>
  <c r="M78" i="5"/>
  <c r="M277" i="5"/>
  <c r="M180" i="5"/>
  <c r="M87" i="5"/>
  <c r="M94" i="5"/>
  <c r="M106" i="5"/>
  <c r="M102" i="5"/>
  <c r="M104" i="5"/>
  <c r="M110" i="5"/>
  <c r="M111" i="5"/>
  <c r="M118" i="5"/>
  <c r="M275" i="5"/>
  <c r="M126" i="5"/>
  <c r="M127" i="5"/>
  <c r="M199" i="5"/>
  <c r="M135" i="5"/>
  <c r="M146" i="5"/>
  <c r="M132" i="5"/>
  <c r="M154" i="5"/>
  <c r="M212" i="5"/>
  <c r="M162" i="5"/>
  <c r="M163" i="5"/>
  <c r="M164" i="5"/>
  <c r="M178" i="5"/>
  <c r="M161" i="5"/>
  <c r="M101" i="5"/>
  <c r="M194" i="5"/>
  <c r="M195" i="5"/>
  <c r="M196" i="5"/>
  <c r="M215" i="5"/>
  <c r="M207" i="5"/>
  <c r="M218" i="5"/>
  <c r="M219" i="5"/>
  <c r="M186" i="5"/>
  <c r="M166" i="5"/>
  <c r="M234" i="5"/>
  <c r="M235" i="5"/>
  <c r="M242" i="5"/>
  <c r="M243" i="5"/>
  <c r="M250" i="5"/>
  <c r="M251" i="5"/>
  <c r="M142" i="5"/>
  <c r="M209" i="5"/>
  <c r="M266" i="5"/>
  <c r="M267" i="5"/>
  <c r="M270" i="5"/>
  <c r="M133" i="5"/>
  <c r="M286" i="5"/>
  <c r="M203" i="5"/>
  <c r="M258" i="5"/>
  <c r="M22" i="5"/>
  <c r="M23" i="5"/>
  <c r="M30" i="5"/>
  <c r="M31" i="5"/>
  <c r="M38" i="5"/>
  <c r="M259" i="5"/>
  <c r="M303" i="5"/>
  <c r="M167" i="5"/>
  <c r="M168" i="5"/>
  <c r="M182" i="5"/>
  <c r="M183" i="5"/>
  <c r="M184" i="5"/>
  <c r="M198" i="5"/>
  <c r="M206" i="5"/>
  <c r="M200" i="5"/>
  <c r="M299" i="5"/>
  <c r="M7" i="12"/>
  <c r="L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7"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6" i="12"/>
  <c r="U4" i="3"/>
  <c r="U5" i="3"/>
  <c r="U6" i="3"/>
  <c r="U7" i="3"/>
  <c r="U9" i="3"/>
  <c r="U10" i="3"/>
  <c r="U11" i="3"/>
  <c r="U13" i="3"/>
  <c r="U14" i="3"/>
  <c r="U17" i="3"/>
  <c r="U18" i="3"/>
  <c r="U20" i="3"/>
  <c r="B60" i="4" s="1"/>
  <c r="U21" i="3"/>
  <c r="U22" i="3"/>
  <c r="U23" i="3"/>
  <c r="U24" i="3"/>
  <c r="U28" i="3"/>
  <c r="U29" i="3"/>
  <c r="U31" i="3"/>
  <c r="U32" i="3"/>
  <c r="U33" i="3"/>
  <c r="U34" i="3"/>
  <c r="U35" i="3"/>
  <c r="U36" i="3"/>
  <c r="U37" i="3"/>
  <c r="U38" i="3"/>
  <c r="U39" i="3"/>
  <c r="U40" i="3"/>
  <c r="U41" i="3"/>
  <c r="U44" i="3"/>
  <c r="U45" i="3"/>
  <c r="U46" i="3"/>
  <c r="U48" i="3"/>
  <c r="U50" i="3"/>
  <c r="U51" i="3"/>
  <c r="U52" i="3"/>
  <c r="U53" i="3"/>
  <c r="U55" i="3"/>
  <c r="U57" i="3"/>
  <c r="U58" i="3"/>
  <c r="U60" i="3"/>
  <c r="U61" i="3"/>
  <c r="U62" i="3"/>
  <c r="U63" i="3"/>
  <c r="U64" i="3"/>
  <c r="U66" i="3"/>
  <c r="B106" i="4" s="1"/>
  <c r="U68" i="3"/>
  <c r="U69" i="3"/>
  <c r="U70" i="3"/>
  <c r="U71" i="3"/>
  <c r="U72" i="3"/>
  <c r="U73" i="3"/>
  <c r="U74" i="3"/>
  <c r="U75" i="3"/>
  <c r="U76" i="3"/>
  <c r="U77" i="3"/>
  <c r="U78" i="3"/>
  <c r="U80" i="3"/>
  <c r="U82" i="3"/>
  <c r="U83" i="3"/>
  <c r="U84"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B170" i="4" s="1"/>
  <c r="U131" i="3"/>
  <c r="U132" i="3"/>
  <c r="U133" i="3"/>
  <c r="U134" i="3"/>
  <c r="U135" i="3"/>
  <c r="U136" i="3"/>
  <c r="U138" i="3"/>
  <c r="U139" i="3"/>
  <c r="U140" i="3"/>
  <c r="U141" i="3"/>
  <c r="U142" i="3"/>
  <c r="U143" i="3"/>
  <c r="U147" i="3"/>
  <c r="U148" i="3"/>
  <c r="U149" i="3"/>
  <c r="U150" i="3"/>
  <c r="U152" i="3"/>
  <c r="U153" i="3"/>
  <c r="U154" i="3"/>
  <c r="U155" i="3"/>
  <c r="U156" i="3"/>
  <c r="U157" i="3"/>
  <c r="B197" i="4" s="1"/>
  <c r="U158" i="3"/>
  <c r="U159" i="3"/>
  <c r="U160" i="3"/>
  <c r="U161" i="3"/>
  <c r="U163" i="3"/>
  <c r="U164" i="3"/>
  <c r="U165" i="3"/>
  <c r="U166" i="3"/>
  <c r="U168" i="3"/>
  <c r="U170" i="3"/>
  <c r="U171" i="3"/>
  <c r="U173" i="3"/>
  <c r="U174" i="3"/>
  <c r="U175" i="3"/>
  <c r="U176" i="3"/>
  <c r="B216" i="4" s="1"/>
  <c r="U177" i="3"/>
  <c r="U178" i="3"/>
  <c r="U179" i="3"/>
  <c r="U180" i="3"/>
  <c r="U181" i="3"/>
  <c r="U182" i="3"/>
  <c r="U183" i="3"/>
  <c r="U184" i="3"/>
  <c r="U185" i="3"/>
  <c r="U190" i="3"/>
  <c r="U191" i="3"/>
  <c r="U192" i="3"/>
  <c r="U193" i="3"/>
  <c r="U194" i="3"/>
  <c r="B234" i="4" s="1"/>
  <c r="U195" i="3"/>
  <c r="U196" i="3"/>
  <c r="U197" i="3"/>
  <c r="U198" i="3"/>
  <c r="U200" i="3"/>
  <c r="U201" i="3"/>
  <c r="U202" i="3"/>
  <c r="U203" i="3"/>
  <c r="U204" i="3"/>
  <c r="U205" i="3"/>
  <c r="U206" i="3"/>
  <c r="U207" i="3"/>
  <c r="U208" i="3"/>
  <c r="U209" i="3"/>
  <c r="U210" i="3"/>
  <c r="U211" i="3"/>
  <c r="U212" i="3"/>
  <c r="U213" i="3"/>
  <c r="U214" i="3"/>
  <c r="U215" i="3"/>
  <c r="U216" i="3"/>
  <c r="U217" i="3"/>
  <c r="U218" i="3"/>
  <c r="U221" i="3"/>
  <c r="U222" i="3"/>
  <c r="U223" i="3"/>
  <c r="U224" i="3"/>
  <c r="U225" i="3"/>
  <c r="U226" i="3"/>
  <c r="U227" i="3"/>
  <c r="U228" i="3"/>
  <c r="U229" i="3"/>
  <c r="U230" i="3"/>
  <c r="U231" i="3"/>
  <c r="U232" i="3"/>
  <c r="U233" i="3"/>
  <c r="U234" i="3"/>
  <c r="U235" i="3"/>
  <c r="U236" i="3"/>
  <c r="U237" i="3"/>
  <c r="U239" i="3"/>
  <c r="U240"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1" i="3"/>
  <c r="U282" i="3"/>
  <c r="U284" i="3"/>
  <c r="U285" i="3"/>
  <c r="U286" i="3"/>
  <c r="U287" i="3"/>
  <c r="U289" i="3"/>
  <c r="U292" i="3"/>
  <c r="U293" i="3"/>
  <c r="U294" i="3"/>
  <c r="U295" i="3"/>
  <c r="U296" i="3"/>
  <c r="U297" i="3"/>
  <c r="U298" i="3"/>
  <c r="U299" i="3"/>
  <c r="U300" i="3"/>
  <c r="U301" i="3"/>
  <c r="U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2" i="3"/>
  <c r="S3" i="3"/>
  <c r="U3" i="3" s="1"/>
  <c r="B43" i="4" s="1"/>
  <c r="S4" i="3"/>
  <c r="S5" i="3"/>
  <c r="S6" i="3"/>
  <c r="S7" i="3"/>
  <c r="S8" i="3"/>
  <c r="U8" i="3" s="1"/>
  <c r="B48" i="4" s="1"/>
  <c r="S9" i="3"/>
  <c r="S10" i="3"/>
  <c r="S11" i="3"/>
  <c r="S12" i="3"/>
  <c r="U12" i="3" s="1"/>
  <c r="S13" i="3"/>
  <c r="S14" i="3"/>
  <c r="S15" i="3"/>
  <c r="U15" i="3" s="1"/>
  <c r="B55" i="4" s="1"/>
  <c r="S16" i="3"/>
  <c r="U16" i="3" s="1"/>
  <c r="B56" i="4" s="1"/>
  <c r="S17" i="3"/>
  <c r="S18" i="3"/>
  <c r="B58" i="4" s="1"/>
  <c r="S19" i="3"/>
  <c r="S20" i="3"/>
  <c r="S21" i="3"/>
  <c r="S22" i="3"/>
  <c r="B62" i="4" s="1"/>
  <c r="S23" i="3"/>
  <c r="S24" i="3"/>
  <c r="S25" i="3"/>
  <c r="U25" i="3" s="1"/>
  <c r="B65" i="4" s="1"/>
  <c r="S26" i="3"/>
  <c r="S27" i="3"/>
  <c r="U27" i="3" s="1"/>
  <c r="S28" i="3"/>
  <c r="S29" i="3"/>
  <c r="S30" i="3"/>
  <c r="U30" i="3" s="1"/>
  <c r="S31" i="3"/>
  <c r="S32" i="3"/>
  <c r="S33" i="3"/>
  <c r="S34" i="3"/>
  <c r="B74" i="4" s="1"/>
  <c r="S35" i="3"/>
  <c r="S36" i="3"/>
  <c r="S37" i="3"/>
  <c r="S38" i="3"/>
  <c r="B78" i="4" s="1"/>
  <c r="S39" i="3"/>
  <c r="S40" i="3"/>
  <c r="S41" i="3"/>
  <c r="S42" i="3"/>
  <c r="S43" i="3"/>
  <c r="U43" i="3" s="1"/>
  <c r="B83" i="4" s="1"/>
  <c r="S44" i="3"/>
  <c r="S45" i="3"/>
  <c r="S46" i="3"/>
  <c r="B86" i="4" s="1"/>
  <c r="S47" i="3"/>
  <c r="U47" i="3" s="1"/>
  <c r="B87" i="4" s="1"/>
  <c r="S48" i="3"/>
  <c r="S49" i="3"/>
  <c r="U49" i="3" s="1"/>
  <c r="B89" i="4" s="1"/>
  <c r="S50" i="3"/>
  <c r="B90" i="4" s="1"/>
  <c r="S51" i="3"/>
  <c r="S52" i="3"/>
  <c r="S53" i="3"/>
  <c r="S54" i="3"/>
  <c r="S55" i="3"/>
  <c r="S56" i="3"/>
  <c r="U56" i="3" s="1"/>
  <c r="B96" i="4" s="1"/>
  <c r="S57" i="3"/>
  <c r="S58" i="3"/>
  <c r="B98" i="4" s="1"/>
  <c r="S59" i="3"/>
  <c r="U59" i="3" s="1"/>
  <c r="B99" i="4" s="1"/>
  <c r="S60" i="3"/>
  <c r="S61" i="3"/>
  <c r="S62" i="3"/>
  <c r="B102" i="4" s="1"/>
  <c r="S63" i="3"/>
  <c r="S64" i="3"/>
  <c r="S65" i="3"/>
  <c r="U65" i="3" s="1"/>
  <c r="B105" i="4" s="1"/>
  <c r="S66" i="3"/>
  <c r="S67" i="3"/>
  <c r="U67" i="3" s="1"/>
  <c r="B107" i="4" s="1"/>
  <c r="S68" i="3"/>
  <c r="S69" i="3"/>
  <c r="S70" i="3"/>
  <c r="S71" i="3"/>
  <c r="S72" i="3"/>
  <c r="S73" i="3"/>
  <c r="S74" i="3"/>
  <c r="B114" i="4" s="1"/>
  <c r="S75" i="3"/>
  <c r="S76" i="3"/>
  <c r="S77" i="3"/>
  <c r="S78" i="3"/>
  <c r="B118" i="4" s="1"/>
  <c r="S79" i="3"/>
  <c r="U79" i="3" s="1"/>
  <c r="B119" i="4" s="1"/>
  <c r="S80" i="3"/>
  <c r="S81" i="3"/>
  <c r="U81" i="3" s="1"/>
  <c r="B121" i="4" s="1"/>
  <c r="S82" i="3"/>
  <c r="B122" i="4" s="1"/>
  <c r="S83" i="3"/>
  <c r="S84" i="3"/>
  <c r="S85" i="3"/>
  <c r="U85" i="3" s="1"/>
  <c r="B125" i="4" s="1"/>
  <c r="S86" i="3"/>
  <c r="B126" i="4" s="1"/>
  <c r="S87" i="3"/>
  <c r="S88" i="3"/>
  <c r="S89" i="3"/>
  <c r="S90" i="3"/>
  <c r="B130" i="4" s="1"/>
  <c r="S91" i="3"/>
  <c r="S92" i="3"/>
  <c r="S93" i="3"/>
  <c r="S94" i="3"/>
  <c r="B134" i="4" s="1"/>
  <c r="S95" i="3"/>
  <c r="S96" i="3"/>
  <c r="S97" i="3"/>
  <c r="S98" i="3"/>
  <c r="B138" i="4" s="1"/>
  <c r="S99" i="3"/>
  <c r="S100" i="3"/>
  <c r="S101" i="3"/>
  <c r="S102" i="3"/>
  <c r="B142" i="4" s="1"/>
  <c r="S103" i="3"/>
  <c r="S104" i="3"/>
  <c r="S105" i="3"/>
  <c r="S106" i="3"/>
  <c r="B146" i="4" s="1"/>
  <c r="S107" i="3"/>
  <c r="S108" i="3"/>
  <c r="S109" i="3"/>
  <c r="S110" i="3"/>
  <c r="B150" i="4" s="1"/>
  <c r="S111" i="3"/>
  <c r="S112" i="3"/>
  <c r="S113" i="3"/>
  <c r="S114" i="3"/>
  <c r="B154" i="4" s="1"/>
  <c r="S115" i="3"/>
  <c r="S116" i="3"/>
  <c r="S117" i="3"/>
  <c r="S118" i="3"/>
  <c r="B158" i="4" s="1"/>
  <c r="S119" i="3"/>
  <c r="S120" i="3"/>
  <c r="S121" i="3"/>
  <c r="S122" i="3"/>
  <c r="B162" i="4" s="1"/>
  <c r="S123" i="3"/>
  <c r="S124" i="3"/>
  <c r="S125" i="3"/>
  <c r="S126" i="3"/>
  <c r="B166" i="4" s="1"/>
  <c r="S127" i="3"/>
  <c r="S128" i="3"/>
  <c r="S129" i="3"/>
  <c r="S130" i="3"/>
  <c r="S131" i="3"/>
  <c r="S132" i="3"/>
  <c r="S133" i="3"/>
  <c r="S134" i="3"/>
  <c r="B174" i="4" s="1"/>
  <c r="S135" i="3"/>
  <c r="S136" i="3"/>
  <c r="S137" i="3"/>
  <c r="U137" i="3" s="1"/>
  <c r="S138" i="3"/>
  <c r="B178" i="4" s="1"/>
  <c r="S139" i="3"/>
  <c r="S140" i="3"/>
  <c r="S141" i="3"/>
  <c r="S142" i="3"/>
  <c r="B182" i="4" s="1"/>
  <c r="S143" i="3"/>
  <c r="S144" i="3"/>
  <c r="U144" i="3" s="1"/>
  <c r="B184" i="4" s="1"/>
  <c r="S145" i="3"/>
  <c r="U145" i="3" s="1"/>
  <c r="B185" i="4" s="1"/>
  <c r="S146" i="3"/>
  <c r="U146" i="3" s="1"/>
  <c r="S147" i="3"/>
  <c r="S148" i="3"/>
  <c r="S149" i="3"/>
  <c r="S150" i="3"/>
  <c r="B190" i="4" s="1"/>
  <c r="S151" i="3"/>
  <c r="U151" i="3" s="1"/>
  <c r="B191" i="4" s="1"/>
  <c r="S152" i="3"/>
  <c r="S153" i="3"/>
  <c r="S154" i="3"/>
  <c r="B194" i="4" s="1"/>
  <c r="S155" i="3"/>
  <c r="S156" i="3"/>
  <c r="S157" i="3"/>
  <c r="S158" i="3"/>
  <c r="B198" i="4" s="1"/>
  <c r="S159" i="3"/>
  <c r="S160" i="3"/>
  <c r="S161" i="3"/>
  <c r="S162" i="3"/>
  <c r="S163" i="3"/>
  <c r="S164" i="3"/>
  <c r="S165" i="3"/>
  <c r="S166" i="3"/>
  <c r="B206" i="4" s="1"/>
  <c r="S167" i="3"/>
  <c r="U167" i="3" s="1"/>
  <c r="B207" i="4" s="1"/>
  <c r="S168" i="3"/>
  <c r="S169" i="3"/>
  <c r="U169" i="3" s="1"/>
  <c r="B209" i="4" s="1"/>
  <c r="S170" i="3"/>
  <c r="B210" i="4" s="1"/>
  <c r="S171" i="3"/>
  <c r="S172" i="3"/>
  <c r="U172" i="3" s="1"/>
  <c r="B212" i="4" s="1"/>
  <c r="S173" i="3"/>
  <c r="S174" i="3"/>
  <c r="B214" i="4" s="1"/>
  <c r="S175" i="3"/>
  <c r="S176" i="3"/>
  <c r="S177" i="3"/>
  <c r="S178" i="3"/>
  <c r="B218" i="4" s="1"/>
  <c r="S179" i="3"/>
  <c r="S180" i="3"/>
  <c r="S181" i="3"/>
  <c r="S182" i="3"/>
  <c r="B222" i="4" s="1"/>
  <c r="S183" i="3"/>
  <c r="S184" i="3"/>
  <c r="S185" i="3"/>
  <c r="S186" i="3"/>
  <c r="S187" i="3"/>
  <c r="U187" i="3" s="1"/>
  <c r="B227" i="4" s="1"/>
  <c r="S188" i="3"/>
  <c r="U188" i="3" s="1"/>
  <c r="B228" i="4" s="1"/>
  <c r="S189" i="3"/>
  <c r="U189" i="3" s="1"/>
  <c r="B229" i="4" s="1"/>
  <c r="S190" i="3"/>
  <c r="S191" i="3"/>
  <c r="S192" i="3"/>
  <c r="S193" i="3"/>
  <c r="S194" i="3"/>
  <c r="S195" i="3"/>
  <c r="S196" i="3"/>
  <c r="S197" i="3"/>
  <c r="S198" i="3"/>
  <c r="S199" i="3"/>
  <c r="U199" i="3" s="1"/>
  <c r="B239" i="4" s="1"/>
  <c r="S200" i="3"/>
  <c r="S201" i="3"/>
  <c r="S202" i="3"/>
  <c r="S203" i="3"/>
  <c r="S204" i="3"/>
  <c r="S205" i="3"/>
  <c r="S206" i="3"/>
  <c r="B246" i="4" s="1"/>
  <c r="S207" i="3"/>
  <c r="S208" i="3"/>
  <c r="S209" i="3"/>
  <c r="S210" i="3"/>
  <c r="B250" i="4" s="1"/>
  <c r="S211" i="3"/>
  <c r="S212" i="3"/>
  <c r="S213" i="3"/>
  <c r="S214" i="3"/>
  <c r="B254" i="4" s="1"/>
  <c r="S215" i="3"/>
  <c r="S216" i="3"/>
  <c r="S217" i="3"/>
  <c r="S218" i="3"/>
  <c r="B258" i="4" s="1"/>
  <c r="S219" i="3"/>
  <c r="U219" i="3" s="1"/>
  <c r="B259" i="4" s="1"/>
  <c r="S220" i="3"/>
  <c r="U220" i="3" s="1"/>
  <c r="B260" i="4" s="1"/>
  <c r="S221" i="3"/>
  <c r="S222" i="3"/>
  <c r="B262" i="4" s="1"/>
  <c r="S223" i="3"/>
  <c r="S224" i="3"/>
  <c r="S225" i="3"/>
  <c r="S226" i="3"/>
  <c r="B266" i="4" s="1"/>
  <c r="S227" i="3"/>
  <c r="S228" i="3"/>
  <c r="S229" i="3"/>
  <c r="S230" i="3"/>
  <c r="B270" i="4" s="1"/>
  <c r="S231" i="3"/>
  <c r="S232" i="3"/>
  <c r="S233" i="3"/>
  <c r="S234" i="3"/>
  <c r="B274" i="4" s="1"/>
  <c r="S235" i="3"/>
  <c r="S236" i="3"/>
  <c r="S237" i="3"/>
  <c r="S238" i="3"/>
  <c r="S239" i="3"/>
  <c r="S240" i="3"/>
  <c r="S241" i="3"/>
  <c r="U241" i="3" s="1"/>
  <c r="B281" i="4" s="1"/>
  <c r="S242" i="3"/>
  <c r="B282" i="4" s="1"/>
  <c r="S243" i="3"/>
  <c r="S244" i="3"/>
  <c r="S245" i="3"/>
  <c r="S246" i="3"/>
  <c r="B286" i="4" s="1"/>
  <c r="S247" i="3"/>
  <c r="S248" i="3"/>
  <c r="S249" i="3"/>
  <c r="S250" i="3"/>
  <c r="B290" i="4" s="1"/>
  <c r="S251" i="3"/>
  <c r="S252" i="3"/>
  <c r="S253" i="3"/>
  <c r="S254" i="3"/>
  <c r="B294" i="4" s="1"/>
  <c r="S255" i="3"/>
  <c r="S256" i="3"/>
  <c r="S257" i="3"/>
  <c r="S258" i="3"/>
  <c r="S259" i="3"/>
  <c r="S260" i="3"/>
  <c r="S261" i="3"/>
  <c r="S262" i="3"/>
  <c r="B302" i="4" s="1"/>
  <c r="S263" i="3"/>
  <c r="S264" i="3"/>
  <c r="S265" i="3"/>
  <c r="S266" i="3"/>
  <c r="B306" i="4" s="1"/>
  <c r="S267" i="3"/>
  <c r="S268" i="3"/>
  <c r="S269" i="3"/>
  <c r="S270" i="3"/>
  <c r="B310" i="4" s="1"/>
  <c r="S271" i="3"/>
  <c r="S272" i="3"/>
  <c r="S273" i="3"/>
  <c r="S274" i="3"/>
  <c r="B314" i="4" s="1"/>
  <c r="S275" i="3"/>
  <c r="S276" i="3"/>
  <c r="S277" i="3"/>
  <c r="S278" i="3"/>
  <c r="B318" i="4" s="1"/>
  <c r="S279" i="3"/>
  <c r="S280" i="3"/>
  <c r="U280" i="3" s="1"/>
  <c r="S281" i="3"/>
  <c r="S282" i="3"/>
  <c r="B322" i="4" s="1"/>
  <c r="S283" i="3"/>
  <c r="S284" i="3"/>
  <c r="S285" i="3"/>
  <c r="S286" i="3"/>
  <c r="B326" i="4" s="1"/>
  <c r="S287" i="3"/>
  <c r="S288" i="3"/>
  <c r="S289" i="3"/>
  <c r="S290" i="3"/>
  <c r="S291" i="3"/>
  <c r="U291" i="3" s="1"/>
  <c r="B331" i="4" s="1"/>
  <c r="S292" i="3"/>
  <c r="S293" i="3"/>
  <c r="S294" i="3"/>
  <c r="B334" i="4" s="1"/>
  <c r="S295" i="3"/>
  <c r="S296" i="3"/>
  <c r="S297" i="3"/>
  <c r="S298" i="3"/>
  <c r="B338" i="4" s="1"/>
  <c r="S299" i="3"/>
  <c r="S300" i="3"/>
  <c r="S301" i="3"/>
  <c r="S2" i="3"/>
  <c r="B298"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2" i="3"/>
  <c r="M27" i="4"/>
  <c r="M26" i="4"/>
  <c r="L19" i="4"/>
  <c r="L20" i="4"/>
  <c r="L21" i="4"/>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2" i="3"/>
  <c r="E42"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43" i="4"/>
  <c r="E44" i="4"/>
  <c r="E45" i="4"/>
  <c r="E46" i="4"/>
  <c r="E47"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42" i="4"/>
  <c r="B44" i="4"/>
  <c r="B45" i="4"/>
  <c r="B47" i="4"/>
  <c r="B49" i="4"/>
  <c r="B51" i="4"/>
  <c r="B53" i="4"/>
  <c r="B57" i="4"/>
  <c r="B61" i="4"/>
  <c r="B63" i="4"/>
  <c r="B64" i="4"/>
  <c r="B68" i="4"/>
  <c r="B69" i="4"/>
  <c r="B71" i="4"/>
  <c r="B72" i="4"/>
  <c r="B73" i="4"/>
  <c r="B75" i="4"/>
  <c r="B76" i="4"/>
  <c r="B77" i="4"/>
  <c r="B79" i="4"/>
  <c r="B80" i="4"/>
  <c r="B81" i="4"/>
  <c r="B84" i="4"/>
  <c r="B85" i="4"/>
  <c r="B88" i="4"/>
  <c r="B91" i="4"/>
  <c r="B92" i="4"/>
  <c r="B93" i="4"/>
  <c r="B95" i="4"/>
  <c r="B97" i="4"/>
  <c r="B100" i="4"/>
  <c r="B101" i="4"/>
  <c r="B103" i="4"/>
  <c r="B104" i="4"/>
  <c r="B108" i="4"/>
  <c r="B109" i="4"/>
  <c r="B111" i="4"/>
  <c r="B112" i="4"/>
  <c r="B113" i="4"/>
  <c r="B115" i="4"/>
  <c r="B116" i="4"/>
  <c r="B117" i="4"/>
  <c r="B120" i="4"/>
  <c r="B123" i="4"/>
  <c r="B124" i="4"/>
  <c r="B127" i="4"/>
  <c r="B128" i="4"/>
  <c r="B129" i="4"/>
  <c r="B131" i="4"/>
  <c r="B132" i="4"/>
  <c r="B133" i="4"/>
  <c r="B135" i="4"/>
  <c r="B136" i="4"/>
  <c r="B137" i="4"/>
  <c r="B139" i="4"/>
  <c r="B140" i="4"/>
  <c r="B141" i="4"/>
  <c r="B143" i="4"/>
  <c r="B144" i="4"/>
  <c r="B145" i="4"/>
  <c r="B147" i="4"/>
  <c r="B148" i="4"/>
  <c r="B149" i="4"/>
  <c r="B151" i="4"/>
  <c r="B152" i="4"/>
  <c r="B153" i="4"/>
  <c r="B155" i="4"/>
  <c r="B156" i="4"/>
  <c r="B157" i="4"/>
  <c r="B159" i="4"/>
  <c r="B160" i="4"/>
  <c r="B161" i="4"/>
  <c r="B163" i="4"/>
  <c r="B164" i="4"/>
  <c r="B165" i="4"/>
  <c r="B167" i="4"/>
  <c r="B168" i="4"/>
  <c r="B169" i="4"/>
  <c r="B171" i="4"/>
  <c r="B172" i="4"/>
  <c r="B173" i="4"/>
  <c r="B175" i="4"/>
  <c r="B176" i="4"/>
  <c r="B179" i="4"/>
  <c r="B180" i="4"/>
  <c r="B181" i="4"/>
  <c r="B183" i="4"/>
  <c r="B187" i="4"/>
  <c r="B188" i="4"/>
  <c r="B189" i="4"/>
  <c r="B192" i="4"/>
  <c r="B193" i="4"/>
  <c r="B195" i="4"/>
  <c r="B196" i="4"/>
  <c r="B199" i="4"/>
  <c r="B200" i="4"/>
  <c r="B201" i="4"/>
  <c r="B203" i="4"/>
  <c r="B204" i="4"/>
  <c r="B205" i="4"/>
  <c r="B208" i="4"/>
  <c r="B211" i="4"/>
  <c r="B213" i="4"/>
  <c r="B215" i="4"/>
  <c r="B217" i="4"/>
  <c r="B219" i="4"/>
  <c r="B220" i="4"/>
  <c r="B221" i="4"/>
  <c r="B223" i="4"/>
  <c r="B224" i="4"/>
  <c r="B225" i="4"/>
  <c r="B231" i="4"/>
  <c r="B232" i="4"/>
  <c r="B233" i="4"/>
  <c r="B235" i="4"/>
  <c r="B236" i="4"/>
  <c r="B237" i="4"/>
  <c r="B240" i="4"/>
  <c r="B241" i="4"/>
  <c r="B243" i="4"/>
  <c r="B244" i="4"/>
  <c r="B245" i="4"/>
  <c r="B247" i="4"/>
  <c r="B248" i="4"/>
  <c r="B249" i="4"/>
  <c r="B251" i="4"/>
  <c r="B252" i="4"/>
  <c r="B253" i="4"/>
  <c r="B255" i="4"/>
  <c r="B256" i="4"/>
  <c r="B257" i="4"/>
  <c r="B261" i="4"/>
  <c r="B263" i="4"/>
  <c r="B264" i="4"/>
  <c r="B265" i="4"/>
  <c r="B267" i="4"/>
  <c r="B268" i="4"/>
  <c r="B269" i="4"/>
  <c r="B271" i="4"/>
  <c r="B272" i="4"/>
  <c r="B273" i="4"/>
  <c r="B275" i="4"/>
  <c r="B276" i="4"/>
  <c r="B277" i="4"/>
  <c r="B279" i="4"/>
  <c r="B280" i="4"/>
  <c r="B283" i="4"/>
  <c r="B284" i="4"/>
  <c r="B285" i="4"/>
  <c r="B287" i="4"/>
  <c r="B288" i="4"/>
  <c r="B289" i="4"/>
  <c r="B291" i="4"/>
  <c r="B292" i="4"/>
  <c r="B293" i="4"/>
  <c r="B295" i="4"/>
  <c r="B296" i="4"/>
  <c r="B297" i="4"/>
  <c r="B299" i="4"/>
  <c r="B300" i="4"/>
  <c r="B301" i="4"/>
  <c r="B303" i="4"/>
  <c r="B304" i="4"/>
  <c r="B305" i="4"/>
  <c r="B307" i="4"/>
  <c r="B308" i="4"/>
  <c r="B309" i="4"/>
  <c r="B311" i="4"/>
  <c r="B312" i="4"/>
  <c r="B313" i="4"/>
  <c r="B315" i="4"/>
  <c r="B316" i="4"/>
  <c r="B317" i="4"/>
  <c r="B319" i="4"/>
  <c r="B321" i="4"/>
  <c r="B324" i="4"/>
  <c r="B325" i="4"/>
  <c r="B327" i="4"/>
  <c r="B329" i="4"/>
  <c r="B332" i="4"/>
  <c r="B333" i="4"/>
  <c r="B335" i="4"/>
  <c r="B336" i="4"/>
  <c r="B337" i="4"/>
  <c r="B339" i="4"/>
  <c r="B340" i="4"/>
  <c r="B341" i="4"/>
  <c r="B42" i="4"/>
  <c r="U290" i="3" l="1"/>
  <c r="B330" i="4" s="1"/>
  <c r="U288" i="3"/>
  <c r="B328" i="4" s="1"/>
  <c r="U238" i="3"/>
  <c r="B278" i="4" s="1"/>
  <c r="B242" i="4"/>
  <c r="U186" i="3"/>
  <c r="B226" i="4" s="1"/>
  <c r="U162" i="3"/>
  <c r="B202" i="4" s="1"/>
  <c r="B186" i="4"/>
  <c r="B177" i="4"/>
  <c r="B110" i="4"/>
  <c r="U26" i="3"/>
  <c r="B66" i="4" s="1"/>
  <c r="B67" i="4"/>
  <c r="B238" i="4"/>
  <c r="B230" i="4"/>
  <c r="B70" i="4"/>
  <c r="B320" i="4"/>
  <c r="U283" i="3"/>
  <c r="B323" i="4" s="1"/>
  <c r="L7" i="4"/>
  <c r="U54" i="3"/>
  <c r="B94" i="4" s="1"/>
  <c r="C23" i="4"/>
  <c r="U42" i="3"/>
  <c r="B82" i="4" s="1"/>
  <c r="U19" i="3"/>
  <c r="B59" i="4" s="1"/>
  <c r="C16" i="4"/>
  <c r="C17" i="4"/>
  <c r="B52" i="4"/>
  <c r="C18" i="4"/>
  <c r="C15" i="4"/>
  <c r="C7" i="4"/>
  <c r="L27" i="4"/>
  <c r="L6" i="4"/>
  <c r="B54" i="4"/>
  <c r="C29" i="4"/>
  <c r="C6" i="4"/>
  <c r="L26" i="4"/>
  <c r="C9" i="4"/>
  <c r="C8" i="4"/>
  <c r="B50" i="4"/>
  <c r="B46" i="4"/>
  <c r="C28" i="4"/>
  <c r="L12" i="4"/>
  <c r="L13" i="4"/>
  <c r="L14" i="4"/>
</calcChain>
</file>

<file path=xl/sharedStrings.xml><?xml version="1.0" encoding="utf-8"?>
<sst xmlns="http://schemas.openxmlformats.org/spreadsheetml/2006/main" count="10528" uniqueCount="573">
  <si>
    <t>Order_ID</t>
  </si>
  <si>
    <t>Product_ID</t>
  </si>
  <si>
    <t>Sale_Date</t>
  </si>
  <si>
    <t>Customer_Name</t>
  </si>
  <si>
    <t>Age</t>
  </si>
  <si>
    <t>City</t>
  </si>
  <si>
    <t>State</t>
  </si>
  <si>
    <t>Region</t>
  </si>
  <si>
    <t>Quantity_Sold</t>
  </si>
  <si>
    <t>Product_Category</t>
  </si>
  <si>
    <t>Unit_Cost</t>
  </si>
  <si>
    <t>Unit_Price</t>
  </si>
  <si>
    <t>Customer_Type</t>
  </si>
  <si>
    <t>Discount</t>
  </si>
  <si>
    <t>Payment_Method</t>
  </si>
  <si>
    <t>Sales_Channel</t>
  </si>
  <si>
    <t>Order_Status</t>
  </si>
  <si>
    <t>Sales_Amount</t>
  </si>
  <si>
    <t>Profit</t>
  </si>
  <si>
    <t>ORD1000</t>
  </si>
  <si>
    <t>Suman Mukherjee</t>
  </si>
  <si>
    <t>Bangalore</t>
  </si>
  <si>
    <t>Karnataka</t>
  </si>
  <si>
    <t>East</t>
  </si>
  <si>
    <t>Furniture</t>
  </si>
  <si>
    <t>Returning</t>
  </si>
  <si>
    <t>Cash</t>
  </si>
  <si>
    <t>Offline</t>
  </si>
  <si>
    <t>Delivered</t>
  </si>
  <si>
    <t>ORD1001</t>
  </si>
  <si>
    <t>Kavita Mukherjee</t>
  </si>
  <si>
    <t>Chennai</t>
  </si>
  <si>
    <t>Tamil Nadu</t>
  </si>
  <si>
    <t>West</t>
  </si>
  <si>
    <t>Online</t>
  </si>
  <si>
    <t>Cancelled</t>
  </si>
  <si>
    <t>ORD1002</t>
  </si>
  <si>
    <t>Pooja Iyer</t>
  </si>
  <si>
    <t>Maharashtra</t>
  </si>
  <si>
    <t>Food</t>
  </si>
  <si>
    <t>Bank Transfer</t>
  </si>
  <si>
    <t>Returned</t>
  </si>
  <si>
    <t>ORD1003</t>
  </si>
  <si>
    <t>Neha Mukherjee</t>
  </si>
  <si>
    <t>North</t>
  </si>
  <si>
    <t>Clothing</t>
  </si>
  <si>
    <t>New</t>
  </si>
  <si>
    <t>Credit Card</t>
  </si>
  <si>
    <t>ORD1004</t>
  </si>
  <si>
    <t>Rohit Gupta</t>
  </si>
  <si>
    <t>South</t>
  </si>
  <si>
    <t>Electronics</t>
  </si>
  <si>
    <t>ORD1005</t>
  </si>
  <si>
    <t>Abhishek Ghosh</t>
  </si>
  <si>
    <t>Delhi</t>
  </si>
  <si>
    <t>ORD1006</t>
  </si>
  <si>
    <t>Sneha Das</t>
  </si>
  <si>
    <t>ORD1007</t>
  </si>
  <si>
    <t>Amit Malhotra</t>
  </si>
  <si>
    <t>ORD1008</t>
  </si>
  <si>
    <t>Suman Das</t>
  </si>
  <si>
    <t>ORD1009</t>
  </si>
  <si>
    <t>Kavita Ghosh</t>
  </si>
  <si>
    <t>ORD1010</t>
  </si>
  <si>
    <t>Sourav Gupta</t>
  </si>
  <si>
    <t>Mumbai</t>
  </si>
  <si>
    <t>ORD1011</t>
  </si>
  <si>
    <t>Arjun Chatterjee</t>
  </si>
  <si>
    <t>ORD1012</t>
  </si>
  <si>
    <t>ORD1013</t>
  </si>
  <si>
    <t>Sneha Gupta</t>
  </si>
  <si>
    <t>ORD1014</t>
  </si>
  <si>
    <t>Priya Iyer</t>
  </si>
  <si>
    <t>ORD1015</t>
  </si>
  <si>
    <t>Anjali Gupta</t>
  </si>
  <si>
    <t>ORD1016</t>
  </si>
  <si>
    <t>Sneha Singh</t>
  </si>
  <si>
    <t>ORD1017</t>
  </si>
  <si>
    <t>Amit Gupta</t>
  </si>
  <si>
    <t>ORD1018</t>
  </si>
  <si>
    <t>Abhishek Banerjee</t>
  </si>
  <si>
    <t>West Bengal</t>
  </si>
  <si>
    <t>ORD1019</t>
  </si>
  <si>
    <t>Anjali Chatterjee</t>
  </si>
  <si>
    <t>ORD1020</t>
  </si>
  <si>
    <t>ORD1021</t>
  </si>
  <si>
    <t>Pooja Gupta</t>
  </si>
  <si>
    <t>ORD1022</t>
  </si>
  <si>
    <t>ORD1023</t>
  </si>
  <si>
    <t>Rohit Sharma</t>
  </si>
  <si>
    <t>ORD1024</t>
  </si>
  <si>
    <t>Anjali Malhotra</t>
  </si>
  <si>
    <t>ORD1025</t>
  </si>
  <si>
    <t>Rahul Iyer</t>
  </si>
  <si>
    <t>ORD1026</t>
  </si>
  <si>
    <t>Neha Patel</t>
  </si>
  <si>
    <t>ORD1027</t>
  </si>
  <si>
    <t>Rahul Malhotra</t>
  </si>
  <si>
    <t>ORD1028</t>
  </si>
  <si>
    <t>Arjun Malhotra</t>
  </si>
  <si>
    <t>Kolkata</t>
  </si>
  <si>
    <t>ORD1029</t>
  </si>
  <si>
    <t>Abhishek Malhotra</t>
  </si>
  <si>
    <t>ORD1030</t>
  </si>
  <si>
    <t>Abhishek Gupta</t>
  </si>
  <si>
    <t>ORD1031</t>
  </si>
  <si>
    <t>Anita Malhotra</t>
  </si>
  <si>
    <t>ORD1032</t>
  </si>
  <si>
    <t>Priya Chatterjee</t>
  </si>
  <si>
    <t>ORD1033</t>
  </si>
  <si>
    <t>Pooja Banerjee</t>
  </si>
  <si>
    <t>ORD1034</t>
  </si>
  <si>
    <t>Suman Sharma</t>
  </si>
  <si>
    <t>ORD1035</t>
  </si>
  <si>
    <t>ORD1036</t>
  </si>
  <si>
    <t>Sneha Iyer</t>
  </si>
  <si>
    <t>ORD1037</t>
  </si>
  <si>
    <t>Sneha Ghosh</t>
  </si>
  <si>
    <t>ORD1038</t>
  </si>
  <si>
    <t>Vikram Patel</t>
  </si>
  <si>
    <t>ORD1039</t>
  </si>
  <si>
    <t>Riya Iyer</t>
  </si>
  <si>
    <t>ORD1040</t>
  </si>
  <si>
    <t>Sourav Singh</t>
  </si>
  <si>
    <t>ORD1041</t>
  </si>
  <si>
    <t>Anjali Das</t>
  </si>
  <si>
    <t>ORD1042</t>
  </si>
  <si>
    <t>Anita Patel</t>
  </si>
  <si>
    <t>ORD1043</t>
  </si>
  <si>
    <t>Pooja Mukherjee</t>
  </si>
  <si>
    <t>ORD1044</t>
  </si>
  <si>
    <t>Anita Ghosh</t>
  </si>
  <si>
    <t>ORD1045</t>
  </si>
  <si>
    <t>ORD1046</t>
  </si>
  <si>
    <t>ORD1047</t>
  </si>
  <si>
    <t>Arjun Banerjee</t>
  </si>
  <si>
    <t>ORD1048</t>
  </si>
  <si>
    <t>Sourav Sharma</t>
  </si>
  <si>
    <t>ORD1049</t>
  </si>
  <si>
    <t>Rohit Das</t>
  </si>
  <si>
    <t>ORD1050</t>
  </si>
  <si>
    <t>Pooja Chatterjee</t>
  </si>
  <si>
    <t>ORD1051</t>
  </si>
  <si>
    <t>Neha Iyer</t>
  </si>
  <si>
    <t>ORD1052</t>
  </si>
  <si>
    <t>Rahul Mukherjee</t>
  </si>
  <si>
    <t>ORD1053</t>
  </si>
  <si>
    <t>ORD1054</t>
  </si>
  <si>
    <t>Priya Sharma</t>
  </si>
  <si>
    <t>ORD1055</t>
  </si>
  <si>
    <t>Sourav Chatterjee</t>
  </si>
  <si>
    <t>ORD1056</t>
  </si>
  <si>
    <t>Vikram Roy</t>
  </si>
  <si>
    <t>ORD1057</t>
  </si>
  <si>
    <t>Riya Patel</t>
  </si>
  <si>
    <t>ORD1058</t>
  </si>
  <si>
    <t>Priya Singh</t>
  </si>
  <si>
    <t>ORD1059</t>
  </si>
  <si>
    <t>Anita Singh</t>
  </si>
  <si>
    <t>ORD1060</t>
  </si>
  <si>
    <t>Arjun Sharma</t>
  </si>
  <si>
    <t>ORD1061</t>
  </si>
  <si>
    <t>Sneha Mukherjee</t>
  </si>
  <si>
    <t>ORD1062</t>
  </si>
  <si>
    <t>Anita Iyer</t>
  </si>
  <si>
    <t>ORD1063</t>
  </si>
  <si>
    <t>Kavita Das</t>
  </si>
  <si>
    <t>ORD1064</t>
  </si>
  <si>
    <t>Abhishek Patel</t>
  </si>
  <si>
    <t>ORD1065</t>
  </si>
  <si>
    <t>Priya Mukherjee</t>
  </si>
  <si>
    <t>ORD1066</t>
  </si>
  <si>
    <t>Suman Chatterjee</t>
  </si>
  <si>
    <t>ORD1067</t>
  </si>
  <si>
    <t>Kavita Gupta</t>
  </si>
  <si>
    <t>ORD1068</t>
  </si>
  <si>
    <t>Priya Gupta</t>
  </si>
  <si>
    <t>ORD1069</t>
  </si>
  <si>
    <t>Anjali Sharma</t>
  </si>
  <si>
    <t>ORD1070</t>
  </si>
  <si>
    <t>Vikram Malhotra</t>
  </si>
  <si>
    <t>ORD1071</t>
  </si>
  <si>
    <t>Arjun Das</t>
  </si>
  <si>
    <t>ORD1072</t>
  </si>
  <si>
    <t>Neha Das</t>
  </si>
  <si>
    <t>ORD1073</t>
  </si>
  <si>
    <t>Anita Gupta</t>
  </si>
  <si>
    <t>ORD1074</t>
  </si>
  <si>
    <t>Pooja Malhotra</t>
  </si>
  <si>
    <t>ORD1075</t>
  </si>
  <si>
    <t>ORD1076</t>
  </si>
  <si>
    <t>ORD1077</t>
  </si>
  <si>
    <t>Arjun Roy</t>
  </si>
  <si>
    <t>ORD1078</t>
  </si>
  <si>
    <t>Amit Mukherjee</t>
  </si>
  <si>
    <t>ORD1079</t>
  </si>
  <si>
    <t>Amit Patel</t>
  </si>
  <si>
    <t>ORD1080</t>
  </si>
  <si>
    <t>Suman Gupta</t>
  </si>
  <si>
    <t>ORD1081</t>
  </si>
  <si>
    <t>Anita Sharma</t>
  </si>
  <si>
    <t>ORD1082</t>
  </si>
  <si>
    <t>ORD1083</t>
  </si>
  <si>
    <t>Vikram Gupta</t>
  </si>
  <si>
    <t>ORD1084</t>
  </si>
  <si>
    <t>Rahul Chatterjee</t>
  </si>
  <si>
    <t>ORD1085</t>
  </si>
  <si>
    <t>ORD1086</t>
  </si>
  <si>
    <t>ORD1087</t>
  </si>
  <si>
    <t>Rahul Gupta</t>
  </si>
  <si>
    <t>ORD1088</t>
  </si>
  <si>
    <t>ORD1089</t>
  </si>
  <si>
    <t>ORD1090</t>
  </si>
  <si>
    <t>ORD1091</t>
  </si>
  <si>
    <t>Arjun Gupta</t>
  </si>
  <si>
    <t>ORD1092</t>
  </si>
  <si>
    <t>Pooja Roy</t>
  </si>
  <si>
    <t>ORD1093</t>
  </si>
  <si>
    <t>ORD1094</t>
  </si>
  <si>
    <t>ORD1095</t>
  </si>
  <si>
    <t>Abhishek Iyer</t>
  </si>
  <si>
    <t>ORD1096</t>
  </si>
  <si>
    <t>Abhishek Sharma</t>
  </si>
  <si>
    <t>ORD1097</t>
  </si>
  <si>
    <t>Kavita Patel</t>
  </si>
  <si>
    <t>ORD1098</t>
  </si>
  <si>
    <t>ORD1099</t>
  </si>
  <si>
    <t>ORD1100</t>
  </si>
  <si>
    <t>Kavita Singh</t>
  </si>
  <si>
    <t>ORD1101</t>
  </si>
  <si>
    <t>ORD1102</t>
  </si>
  <si>
    <t>Riya Banerjee</t>
  </si>
  <si>
    <t>ORD1103</t>
  </si>
  <si>
    <t>ORD1104</t>
  </si>
  <si>
    <t>ORD1105</t>
  </si>
  <si>
    <t>Suman Singh</t>
  </si>
  <si>
    <t>ORD1106</t>
  </si>
  <si>
    <t>ORD1107</t>
  </si>
  <si>
    <t>ORD1108</t>
  </si>
  <si>
    <t>Sourav Banerjee</t>
  </si>
  <si>
    <t>ORD1109</t>
  </si>
  <si>
    <t>Rohit Chatterjee</t>
  </si>
  <si>
    <t>ORD1110</t>
  </si>
  <si>
    <t>ORD1111</t>
  </si>
  <si>
    <t>Neha Singh</t>
  </si>
  <si>
    <t>ORD1112</t>
  </si>
  <si>
    <t>Priya Malhotra</t>
  </si>
  <si>
    <t>ORD1113</t>
  </si>
  <si>
    <t>Sourav Das</t>
  </si>
  <si>
    <t>ORD1114</t>
  </si>
  <si>
    <t>Vikram Das</t>
  </si>
  <si>
    <t>ORD1115</t>
  </si>
  <si>
    <t>Priya Banerjee</t>
  </si>
  <si>
    <t>ORD1116</t>
  </si>
  <si>
    <t>Suman Ghosh</t>
  </si>
  <si>
    <t>ORD1117</t>
  </si>
  <si>
    <t>ORD1118</t>
  </si>
  <si>
    <t>ORD1119</t>
  </si>
  <si>
    <t>ORD1120</t>
  </si>
  <si>
    <t>ORD1121</t>
  </si>
  <si>
    <t>Riya Mukherjee</t>
  </si>
  <si>
    <t>ORD1122</t>
  </si>
  <si>
    <t>Anjali Banerjee</t>
  </si>
  <si>
    <t>ORD1123</t>
  </si>
  <si>
    <t>Abhishek Chatterjee</t>
  </si>
  <si>
    <t>ORD1124</t>
  </si>
  <si>
    <t>Rohit Singh</t>
  </si>
  <si>
    <t>ORD1125</t>
  </si>
  <si>
    <t>ORD1126</t>
  </si>
  <si>
    <t>ORD1127</t>
  </si>
  <si>
    <t>Rahul Ghosh</t>
  </si>
  <si>
    <t>ORD1128</t>
  </si>
  <si>
    <t>Anita Chatterjee</t>
  </si>
  <si>
    <t>ORD1129</t>
  </si>
  <si>
    <t>Riya Das</t>
  </si>
  <si>
    <t>ORD1130</t>
  </si>
  <si>
    <t>ORD1131</t>
  </si>
  <si>
    <t>Vikram Singh</t>
  </si>
  <si>
    <t>ORD1132</t>
  </si>
  <si>
    <t>ORD1133</t>
  </si>
  <si>
    <t>ORD1134</t>
  </si>
  <si>
    <t>ORD1135</t>
  </si>
  <si>
    <t>Vikram Iyer</t>
  </si>
  <si>
    <t>ORD1136</t>
  </si>
  <si>
    <t>ORD1137</t>
  </si>
  <si>
    <t>ORD1138</t>
  </si>
  <si>
    <t>ORD1139</t>
  </si>
  <si>
    <t>Arjun Singh</t>
  </si>
  <si>
    <t>ORD1140</t>
  </si>
  <si>
    <t>Sourav Roy</t>
  </si>
  <si>
    <t>ORD1141</t>
  </si>
  <si>
    <t>ORD1142</t>
  </si>
  <si>
    <t>Suman Malhotra</t>
  </si>
  <si>
    <t>ORD1143</t>
  </si>
  <si>
    <t>Vikram Mukherjee</t>
  </si>
  <si>
    <t>ORD1144</t>
  </si>
  <si>
    <t>Neha Chatterjee</t>
  </si>
  <si>
    <t>ORD1145</t>
  </si>
  <si>
    <t>Neha Malhotra</t>
  </si>
  <si>
    <t>ORD1146</t>
  </si>
  <si>
    <t>ORD1147</t>
  </si>
  <si>
    <t>ORD1148</t>
  </si>
  <si>
    <t>Vikram Ghosh</t>
  </si>
  <si>
    <t>ORD1149</t>
  </si>
  <si>
    <t>ORD1150</t>
  </si>
  <si>
    <t>Rohit Iyer</t>
  </si>
  <si>
    <t>ORD1151</t>
  </si>
  <si>
    <t>Anita Roy</t>
  </si>
  <si>
    <t>ORD1152</t>
  </si>
  <si>
    <t>Priya Patel</t>
  </si>
  <si>
    <t>ORD1153</t>
  </si>
  <si>
    <t>ORD1154</t>
  </si>
  <si>
    <t>Riya Sharma</t>
  </si>
  <si>
    <t>ORD1155</t>
  </si>
  <si>
    <t>Riya Chatterjee</t>
  </si>
  <si>
    <t>ORD1156</t>
  </si>
  <si>
    <t>Rohit Ghosh</t>
  </si>
  <si>
    <t>ORD1157</t>
  </si>
  <si>
    <t>ORD1158</t>
  </si>
  <si>
    <t>ORD1159</t>
  </si>
  <si>
    <t>ORD1160</t>
  </si>
  <si>
    <t>Abhishek Das</t>
  </si>
  <si>
    <t>ORD1161</t>
  </si>
  <si>
    <t>Pooja Das</t>
  </si>
  <si>
    <t>ORD1162</t>
  </si>
  <si>
    <t>ORD1163</t>
  </si>
  <si>
    <t>ORD1164</t>
  </si>
  <si>
    <t>Kavita Roy</t>
  </si>
  <si>
    <t>ORD1165</t>
  </si>
  <si>
    <t>ORD1166</t>
  </si>
  <si>
    <t>ORD1167</t>
  </si>
  <si>
    <t>ORD1168</t>
  </si>
  <si>
    <t>ORD1169</t>
  </si>
  <si>
    <t>Kavita Iyer</t>
  </si>
  <si>
    <t>ORD1170</t>
  </si>
  <si>
    <t>ORD1171</t>
  </si>
  <si>
    <t>ORD1172</t>
  </si>
  <si>
    <t>Pooja Singh</t>
  </si>
  <si>
    <t>ORD1173</t>
  </si>
  <si>
    <t>ORD1174</t>
  </si>
  <si>
    <t>ORD1175</t>
  </si>
  <si>
    <t>Vikram Banerjee</t>
  </si>
  <si>
    <t>ORD1176</t>
  </si>
  <si>
    <t>ORD1177</t>
  </si>
  <si>
    <t>ORD1178</t>
  </si>
  <si>
    <t>Rahul Patel</t>
  </si>
  <si>
    <t>ORD1179</t>
  </si>
  <si>
    <t>Amit Chatterjee</t>
  </si>
  <si>
    <t>ORD1180</t>
  </si>
  <si>
    <t>Rohit Malhotra</t>
  </si>
  <si>
    <t>ORD1181</t>
  </si>
  <si>
    <t>ORD1182</t>
  </si>
  <si>
    <t>ORD1183</t>
  </si>
  <si>
    <t>ORD1184</t>
  </si>
  <si>
    <t>ORD1185</t>
  </si>
  <si>
    <t>ORD1186</t>
  </si>
  <si>
    <t>ORD1187</t>
  </si>
  <si>
    <t>ORD1188</t>
  </si>
  <si>
    <t>ORD1189</t>
  </si>
  <si>
    <t>Rahul Das</t>
  </si>
  <si>
    <t>ORD1190</t>
  </si>
  <si>
    <t>ORD1191</t>
  </si>
  <si>
    <t>ORD1192</t>
  </si>
  <si>
    <t>ORD1193</t>
  </si>
  <si>
    <t>ORD1194</t>
  </si>
  <si>
    <t>ORD1195</t>
  </si>
  <si>
    <t>ORD1196</t>
  </si>
  <si>
    <t>ORD1197</t>
  </si>
  <si>
    <t>Amit Singh</t>
  </si>
  <si>
    <t>ORD1198</t>
  </si>
  <si>
    <t>ORD1199</t>
  </si>
  <si>
    <t>ORD1200</t>
  </si>
  <si>
    <t>ORD1201</t>
  </si>
  <si>
    <t>ORD1202</t>
  </si>
  <si>
    <t>Kavita Banerjee</t>
  </si>
  <si>
    <t>ORD1203</t>
  </si>
  <si>
    <t>ORD1204</t>
  </si>
  <si>
    <t>ORD1205</t>
  </si>
  <si>
    <t>ORD1206</t>
  </si>
  <si>
    <t>ORD1207</t>
  </si>
  <si>
    <t>Sourav Patel</t>
  </si>
  <si>
    <t>ORD1208</t>
  </si>
  <si>
    <t>Anjali Roy</t>
  </si>
  <si>
    <t>ORD1209</t>
  </si>
  <si>
    <t>ORD1210</t>
  </si>
  <si>
    <t>ORD1211</t>
  </si>
  <si>
    <t>Priya Das</t>
  </si>
  <si>
    <t>ORD1212</t>
  </si>
  <si>
    <t>ORD1213</t>
  </si>
  <si>
    <t>ORD1214</t>
  </si>
  <si>
    <t>Anjali Mukherjee</t>
  </si>
  <si>
    <t>ORD1215</t>
  </si>
  <si>
    <t>Abhishek Mukherjee</t>
  </si>
  <si>
    <t>ORD1216</t>
  </si>
  <si>
    <t>ORD1217</t>
  </si>
  <si>
    <t>ORD1218</t>
  </si>
  <si>
    <t>Amit Ghosh</t>
  </si>
  <si>
    <t>ORD1219</t>
  </si>
  <si>
    <t>ORD1220</t>
  </si>
  <si>
    <t>ORD1221</t>
  </si>
  <si>
    <t>Rohit Banerjee</t>
  </si>
  <si>
    <t>ORD1222</t>
  </si>
  <si>
    <t>Riya Gupta</t>
  </si>
  <si>
    <t>ORD1223</t>
  </si>
  <si>
    <t>Riya Singh</t>
  </si>
  <si>
    <t>ORD1224</t>
  </si>
  <si>
    <t>ORD1225</t>
  </si>
  <si>
    <t>ORD1226</t>
  </si>
  <si>
    <t>ORD1227</t>
  </si>
  <si>
    <t>ORD1228</t>
  </si>
  <si>
    <t>ORD1229</t>
  </si>
  <si>
    <t>Rahul Sharma</t>
  </si>
  <si>
    <t>ORD1230</t>
  </si>
  <si>
    <t>ORD1231</t>
  </si>
  <si>
    <t>ORD1232</t>
  </si>
  <si>
    <t>Amit Roy</t>
  </si>
  <si>
    <t>ORD1233</t>
  </si>
  <si>
    <t>ORD1234</t>
  </si>
  <si>
    <t>ORD1235</t>
  </si>
  <si>
    <t>ORD1236</t>
  </si>
  <si>
    <t>Sourav Iyer</t>
  </si>
  <si>
    <t>ORD1237</t>
  </si>
  <si>
    <t>ORD1238</t>
  </si>
  <si>
    <t>Anita Das</t>
  </si>
  <si>
    <t>ORD1239</t>
  </si>
  <si>
    <t>ORD1240</t>
  </si>
  <si>
    <t>ORD1241</t>
  </si>
  <si>
    <t>ORD1242</t>
  </si>
  <si>
    <t>ORD1243</t>
  </si>
  <si>
    <t>ORD1244</t>
  </si>
  <si>
    <t>Priya Ghosh</t>
  </si>
  <si>
    <t>ORD1245</t>
  </si>
  <si>
    <t>Pooja Patel</t>
  </si>
  <si>
    <t>ORD1246</t>
  </si>
  <si>
    <t>ORD1247</t>
  </si>
  <si>
    <t>ORD1248</t>
  </si>
  <si>
    <t>Suman Patel</t>
  </si>
  <si>
    <t>ORD1249</t>
  </si>
  <si>
    <t>Rohit Roy</t>
  </si>
  <si>
    <t>ORD1250</t>
  </si>
  <si>
    <t>ORD1251</t>
  </si>
  <si>
    <t>Riya Ghosh</t>
  </si>
  <si>
    <t>ORD1252</t>
  </si>
  <si>
    <t>ORD1253</t>
  </si>
  <si>
    <t>ORD1254</t>
  </si>
  <si>
    <t>Pooja Ghosh</t>
  </si>
  <si>
    <t>ORD1255</t>
  </si>
  <si>
    <t>ORD1256</t>
  </si>
  <si>
    <t>Sourav Malhotra</t>
  </si>
  <si>
    <t>ORD1257</t>
  </si>
  <si>
    <t>ORD1258</t>
  </si>
  <si>
    <t>ORD1259</t>
  </si>
  <si>
    <t>ORD1260</t>
  </si>
  <si>
    <t>ORD1261</t>
  </si>
  <si>
    <t>Vikram Chatterjee</t>
  </si>
  <si>
    <t>ORD1262</t>
  </si>
  <si>
    <t>ORD1263</t>
  </si>
  <si>
    <t>ORD1264</t>
  </si>
  <si>
    <t>ORD1265</t>
  </si>
  <si>
    <t>ORD1266</t>
  </si>
  <si>
    <t>ORD1267</t>
  </si>
  <si>
    <t>ORD1268</t>
  </si>
  <si>
    <t>ORD1269</t>
  </si>
  <si>
    <t>ORD1270</t>
  </si>
  <si>
    <t>Neha Ghosh</t>
  </si>
  <si>
    <t>ORD1271</t>
  </si>
  <si>
    <t>ORD1272</t>
  </si>
  <si>
    <t>Neha Sharma</t>
  </si>
  <si>
    <t>ORD1273</t>
  </si>
  <si>
    <t>ORD1274</t>
  </si>
  <si>
    <t>ORD1275</t>
  </si>
  <si>
    <t>ORD1276</t>
  </si>
  <si>
    <t>ORD1277</t>
  </si>
  <si>
    <t>Suman Banerjee</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</si>
  <si>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</si>
  <si>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</si>
  <si>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</si>
  <si>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</si>
  <si>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</si>
  <si>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</si>
  <si>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</si>
  <si>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</si>
  <si>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</si>
  <si>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</si>
  <si>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</si>
  <si>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</si>
  <si>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</si>
  <si>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</si>
  <si>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</si>
  <si>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</si>
  <si>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</si>
  <si>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</si>
  <si>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</si>
  <si>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Rohit Mukherjee</t>
  </si>
  <si>
    <t>ORD1297</t>
  </si>
  <si>
    <t>ORD1298</t>
  </si>
  <si>
    <t>ORD1299</t>
  </si>
  <si>
    <t>Arjun Iyer</t>
  </si>
  <si>
    <t>Q1. What is the total sales amount by region?</t>
  </si>
  <si>
    <t>north</t>
  </si>
  <si>
    <t>Total Sale Amount</t>
  </si>
  <si>
    <t>Q2. Which product category generates the highest revenue?</t>
  </si>
  <si>
    <t>Hightst_profit</t>
  </si>
  <si>
    <t>Q3. What is the total sales from delivered orders only?</t>
  </si>
  <si>
    <t>Delhivered</t>
  </si>
  <si>
    <t>Sale_Amount</t>
  </si>
  <si>
    <t>Q4. How does sales performance differ by sales channel?</t>
  </si>
  <si>
    <t>Sale_Channel</t>
  </si>
  <si>
    <t>Sales Analysis</t>
  </si>
  <si>
    <t xml:space="preserve"> </t>
  </si>
  <si>
    <t>Customer Behaviour Analysis</t>
  </si>
  <si>
    <t>Sum,Sumif,Sumifs</t>
  </si>
  <si>
    <t>Q1. Can high-value orders be identified using sales and profit?</t>
  </si>
  <si>
    <t>Order_Value</t>
  </si>
  <si>
    <t>Q2. Which orders are risky based on high discount or low quantity?</t>
  </si>
  <si>
    <t>Order risky or not</t>
  </si>
  <si>
    <t>Q3: Is the order delivered or not?</t>
  </si>
  <si>
    <t>Order_delhivary_Status</t>
  </si>
  <si>
    <t>Logical If Functions,Nested if functions</t>
  </si>
  <si>
    <t>Q4.How can quantity-based order size be identified?</t>
  </si>
  <si>
    <t>Order_Size</t>
  </si>
  <si>
    <t>Q1. Which customer type contributes more to sales?</t>
  </si>
  <si>
    <t>Age_Group</t>
  </si>
  <si>
    <t>Age_group</t>
  </si>
  <si>
    <t>Senior</t>
  </si>
  <si>
    <t>Adult</t>
  </si>
  <si>
    <t>Young</t>
  </si>
  <si>
    <t>Q3.Which payment method is most preferred by customers?</t>
  </si>
  <si>
    <t>No. of Customer</t>
  </si>
  <si>
    <t>Q4.Which sales channel do customers prefer?</t>
  </si>
  <si>
    <t xml:space="preserve">                               Q2.Which age group spends the most?</t>
  </si>
  <si>
    <t>Row Labels</t>
  </si>
  <si>
    <t>Grand Total</t>
  </si>
  <si>
    <t>Sum of Sales_Amount</t>
  </si>
  <si>
    <t>Q1: How does total sales vary across regions?</t>
  </si>
  <si>
    <t>Q2.What are the top 2 product categories by revenue?</t>
  </si>
  <si>
    <t>Count of Order_ID</t>
  </si>
  <si>
    <t>Column Labels</t>
  </si>
  <si>
    <t>Month</t>
  </si>
  <si>
    <t>Jan</t>
  </si>
  <si>
    <t>Feb</t>
  </si>
  <si>
    <t>Mar</t>
  </si>
  <si>
    <t>Apr</t>
  </si>
  <si>
    <t>May</t>
  </si>
  <si>
    <t>Jun</t>
  </si>
  <si>
    <t>Jul</t>
  </si>
  <si>
    <t>Aug</t>
  </si>
  <si>
    <t>Sep</t>
  </si>
  <si>
    <t>Oct</t>
  </si>
  <si>
    <t>Nov</t>
  </si>
  <si>
    <t>Dec</t>
  </si>
  <si>
    <t>Retail Sale Dashboard</t>
  </si>
  <si>
    <t>Count of Customer_Name</t>
  </si>
  <si>
    <t>Sum of Profit</t>
  </si>
  <si>
    <t>Q3.Who are the top 10 customers by total sales amount?</t>
  </si>
  <si>
    <t>Q4.Which states have high revenue but low number of orders?</t>
  </si>
  <si>
    <t>Q5.What proportion of orders are cancelled or not delivered?</t>
  </si>
  <si>
    <t>Q6. Which product category dominates sales within each region?</t>
  </si>
  <si>
    <t>Cost_Price</t>
  </si>
  <si>
    <t>VLOOKUP</t>
  </si>
  <si>
    <t>Q1.Find Unit Price using Product_ID</t>
  </si>
  <si>
    <t>Unit Price</t>
  </si>
  <si>
    <t>Q2.Get Customer Type from Order_ID</t>
  </si>
  <si>
    <t>Q3.Find Sales_Channel using Order_ID</t>
  </si>
  <si>
    <t>Index match</t>
  </si>
  <si>
    <t>Q1.Find Customer Name from Order_ID</t>
  </si>
  <si>
    <t>Q2.Get Discount Applied on an Order</t>
  </si>
  <si>
    <t>ORD1006+FF13:H296</t>
  </si>
  <si>
    <t>1.Profit making online delivered orders highest to lowest amount of sale</t>
  </si>
  <si>
    <t>1.Top 10% Sale amountin green fill</t>
  </si>
  <si>
    <t>3.Highlight with red very high discounts</t>
  </si>
  <si>
    <t>4.Top 10% profit highlight with grey</t>
  </si>
  <si>
    <t>2.Highlight with light yellow entire rows where order is Delhivered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</si>
</sst>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
      <b/>
      <sz val="20"/>
      <color theme="1"/>
      <name val="Algerian"/>
      <family val="5"/>
    </font>
    <font>
      <sz val="20"/>
      <color theme="1"/>
      <name val="Algerian"/>
      <family val="5"/>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39997558519241921"/>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0">
    <xf numFmtId="0" fontId="0" fillId="0" borderId="0" xfId="0"/>
    <xf numFmtId="14" fontId="0" fillId="0" borderId="0" xfId="0" applyNumberFormat="1"/>
    <xf numFmtId="0" fontId="16" fillId="0" borderId="0" xfId="0" applyFont="1"/>
    <xf numFmtId="0" fontId="16" fillId="0" borderId="0" xfId="0" applyFont="1" applyAlignment="1">
      <alignment horizontal="left"/>
    </xf>
    <xf numFmtId="0" fontId="0" fillId="0" borderId="0" xfId="0" applyAlignment="1">
      <alignment horizontal="left"/>
    </xf>
    <xf numFmtId="0" fontId="0" fillId="0" borderId="0" xfId="0" pivotButton="1"/>
    <xf numFmtId="0" fontId="16" fillId="33" borderId="0" xfId="0" applyFont="1" applyFill="1"/>
    <xf numFmtId="0" fontId="0" fillId="34" borderId="0" xfId="0" applyFill="1"/>
    <xf numFmtId="0" fontId="0" fillId="36" borderId="0" xfId="0" applyFill="1"/>
    <xf numFmtId="10" fontId="0" fillId="0" borderId="0" xfId="0" applyNumberFormat="1"/>
    <xf numFmtId="0" fontId="0" fillId="0" borderId="0" xfId="0" applyAlignment="1">
      <alignment horizontal="left" indent="1"/>
    </xf>
    <xf numFmtId="0" fontId="0" fillId="37" borderId="0" xfId="0" applyFill="1"/>
    <xf numFmtId="0" fontId="16" fillId="37" borderId="0" xfId="0" applyFont="1" applyFill="1"/>
    <xf numFmtId="0" fontId="16" fillId="38" borderId="10" xfId="0" applyFont="1" applyFill="1" applyBorder="1"/>
    <xf numFmtId="0" fontId="16" fillId="38" borderId="11" xfId="0" applyFont="1" applyFill="1" applyBorder="1"/>
    <xf numFmtId="0" fontId="0" fillId="34" borderId="12" xfId="0" applyFill="1" applyBorder="1"/>
    <xf numFmtId="0" fontId="0" fillId="34" borderId="13"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xf numFmtId="0" fontId="0" fillId="34" borderId="10" xfId="0" applyFill="1" applyBorder="1"/>
    <xf numFmtId="0" fontId="16" fillId="39" borderId="10" xfId="0" applyFont="1" applyFill="1" applyBorder="1"/>
    <xf numFmtId="0" fontId="16" fillId="35" borderId="10" xfId="0" applyFont="1" applyFill="1" applyBorder="1"/>
    <xf numFmtId="0" fontId="16" fillId="35" borderId="10" xfId="0" applyFont="1" applyFill="1" applyBorder="1" applyAlignment="1">
      <alignment horizontal="left"/>
    </xf>
    <xf numFmtId="0" fontId="0" fillId="40" borderId="10" xfId="0" applyFill="1" applyBorder="1"/>
    <xf numFmtId="0" fontId="0" fillId="40" borderId="10" xfId="0" applyFill="1" applyBorder="1" applyAlignment="1">
      <alignment horizontal="left"/>
    </xf>
    <xf numFmtId="0" fontId="16" fillId="41" borderId="10" xfId="0" applyFont="1" applyFill="1" applyBorder="1"/>
    <xf numFmtId="0" fontId="0" fillId="33" borderId="10" xfId="0" applyFill="1" applyBorder="1"/>
    <xf numFmtId="0" fontId="16" fillId="0" borderId="0" xfId="42" applyNumberFormat="1" applyFont="1"/>
    <xf numFmtId="0" fontId="0" fillId="0" borderId="0" xfId="42" applyNumberFormat="1" applyFont="1"/>
    <xf numFmtId="0" fontId="1" fillId="0" borderId="0" xfId="42" applyNumberFormat="1" applyFont="1"/>
    <xf numFmtId="0" fontId="0" fillId="0" borderId="10" xfId="0" applyBorder="1"/>
    <xf numFmtId="0" fontId="19" fillId="43" borderId="0" xfId="0" applyFont="1" applyFill="1" applyAlignment="1">
      <alignment horizontal="center"/>
    </xf>
    <xf numFmtId="0" fontId="16" fillId="37" borderId="0" xfId="0" applyFont="1" applyFill="1" applyAlignment="1">
      <alignment horizontal="center"/>
    </xf>
    <xf numFmtId="0" fontId="19" fillId="42" borderId="0" xfId="0" applyFont="1" applyFill="1" applyAlignment="1">
      <alignment horizontal="center"/>
    </xf>
    <xf numFmtId="0" fontId="16" fillId="0" borderId="0" xfId="0" applyFont="1" applyAlignment="1">
      <alignment horizontal="center"/>
    </xf>
    <xf numFmtId="0" fontId="18" fillId="35" borderId="0" xfId="0" applyFont="1" applyFill="1" applyAlignment="1">
      <alignment horizontal="center"/>
    </xf>
    <xf numFmtId="0" fontId="0" fillId="0" borderId="11" xfId="0" applyBorder="1"/>
    <xf numFmtId="0" fontId="0" fillId="0" borderId="0" xfId="0" applyBorder="1"/>
    <xf numFmtId="0" fontId="0" fillId="0" borderId="0" xfId="0" applyAlignment="1">
      <alignment horizontal="center"/>
    </xf>
    <xf numFmtId="0" fontId="0" fillId="0" borderId="18" xfId="0" applyBorder="1"/>
    <xf numFmtId="0" fontId="0" fillId="0" borderId="19" xfId="0" applyBorder="1"/>
    <xf numFmtId="0" fontId="0" fillId="0" borderId="20" xfId="0" applyBorder="1"/>
    <xf numFmtId="0" fontId="16" fillId="44" borderId="0" xfId="0" applyFont="1" applyFill="1" applyAlignment="1">
      <alignment horizontal="center"/>
    </xf>
    <xf numFmtId="14" fontId="0" fillId="0" borderId="0" xfId="0" applyNumberFormat="1" applyBorder="1"/>
    <xf numFmtId="0" fontId="0" fillId="0" borderId="0" xfId="0" applyBorder="1" applyAlignment="1">
      <alignment horizontal="left"/>
    </xf>
    <xf numFmtId="0" fontId="0" fillId="0" borderId="0" xfId="42" applyNumberFormat="1" applyFont="1" applyBorder="1"/>
    <xf numFmtId="0" fontId="16" fillId="45" borderId="0" xfId="0" applyFont="1" applyFill="1" applyBorder="1"/>
    <xf numFmtId="0" fontId="16" fillId="45" borderId="0" xfId="0" applyFont="1" applyFill="1" applyBorder="1" applyAlignment="1">
      <alignment horizontal="left"/>
    </xf>
    <xf numFmtId="0" fontId="16" fillId="45" borderId="0" xfId="42" applyNumberFormat="1" applyFont="1" applyFill="1" applyBorder="1"/>
    <xf numFmtId="0" fontId="16" fillId="46" borderId="0" xfId="0" applyFont="1" applyFill="1"/>
    <xf numFmtId="0" fontId="20" fillId="46" borderId="0" xfId="0" applyFont="1" applyFill="1" applyAlignment="1">
      <alignment horizontal="center"/>
    </xf>
    <xf numFmtId="0" fontId="20" fillId="34" borderId="0" xfId="0" applyFont="1" applyFill="1" applyAlignment="1">
      <alignment horizontal="center"/>
    </xf>
    <xf numFmtId="0" fontId="16" fillId="47" borderId="0" xfId="0" applyFont="1" applyFill="1" applyAlignment="1">
      <alignment horizontal="center"/>
    </xf>
    <xf numFmtId="0" fontId="16" fillId="33" borderId="10" xfId="0" applyFont="1" applyFill="1" applyBorder="1"/>
    <xf numFmtId="0" fontId="16" fillId="33" borderId="21" xfId="0" applyFont="1" applyFill="1" applyBorder="1"/>
    <xf numFmtId="0" fontId="16" fillId="33" borderId="22" xfId="0" applyFont="1" applyFill="1" applyBorder="1"/>
    <xf numFmtId="0" fontId="16" fillId="33" borderId="23" xfId="0" applyFont="1" applyFill="1" applyBorder="1"/>
    <xf numFmtId="0" fontId="16" fillId="48"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4">
    <dxf>
      <font>
        <color rgb="FFC00000"/>
      </font>
      <fill>
        <patternFill>
          <bgColor rgb="FFFFC000"/>
        </patternFill>
      </fill>
    </dxf>
    <dxf>
      <font>
        <color rgb="FFC00000"/>
      </font>
      <fill>
        <patternFill>
          <bgColor rgb="FFFFC000"/>
        </patternFill>
      </fill>
    </dxf>
    <dxf>
      <font>
        <color theme="0"/>
      </font>
      <fill>
        <patternFill>
          <bgColor theme="2" tint="-0.499984740745262"/>
        </patternFill>
      </fill>
    </dxf>
    <dxf>
      <font>
        <color rgb="FF9C0006"/>
      </font>
      <fill>
        <patternFill>
          <bgColor rgb="FFFFC7CE"/>
        </patternFill>
      </fill>
    </dxf>
    <dxf>
      <fill>
        <patternFill>
          <bgColor theme="7" tint="0.79998168889431442"/>
        </patternFill>
      </fill>
    </dxf>
    <dxf>
      <font>
        <color rgb="FF006100"/>
      </font>
      <fill>
        <patternFill>
          <bgColor rgb="FFC6EFCE"/>
        </patternFill>
      </fill>
    </dxf>
    <dxf>
      <font>
        <color theme="5" tint="-0.499984740745262"/>
      </font>
      <fill>
        <patternFill>
          <bgColor rgb="FFFFC000"/>
        </patternFill>
      </fill>
    </dxf>
    <dxf>
      <font>
        <color theme="0"/>
      </font>
      <fill>
        <patternFill>
          <bgColor theme="2" tint="-0.499984740745262"/>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ont>
        <color rgb="FF006100"/>
      </font>
      <fill>
        <patternFill>
          <bgColor rgb="FFC6EFCE"/>
        </patternFill>
      </fill>
    </dxf>
    <dxf>
      <font>
        <color rgb="FF9C0006"/>
      </font>
      <fill>
        <patternFill>
          <bgColor rgb="FFFFC7CE"/>
        </patternFill>
      </fill>
    </dxf>
    <dxf>
      <fill>
        <patternFill>
          <bgColor theme="7" tint="0.79998168889431442"/>
        </patternFill>
      </fill>
    </dxf>
    <dxf>
      <font>
        <color rgb="FF006100"/>
      </font>
      <fill>
        <patternFill>
          <bgColor rgb="FFC6EFCE"/>
        </patternFill>
      </fill>
    </dxf>
    <dxf>
      <fill>
        <patternFill>
          <bgColor theme="7" tint="0.79998168889431442"/>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dxf>
    <dxf>
      <font>
        <b val="0"/>
        <i val="0"/>
        <strike val="0"/>
        <condense val="0"/>
        <extend val="0"/>
        <outline val="0"/>
        <shadow val="0"/>
        <u val="none"/>
        <vertAlign val="baseline"/>
        <sz val="11"/>
        <color theme="1"/>
        <name val="Calibri"/>
        <family val="2"/>
        <scheme val="minor"/>
      </font>
      <numFmt numFmtId="0" formatCode="General"/>
    </dxf>
    <dxf>
      <alignment horizontal="left" vertical="bottom" textRotation="0" wrapText="0" indent="0" justifyLastLine="0" shrinkToFit="0" readingOrder="0"/>
    </dxf>
    <dxf>
      <numFmt numFmtId="19" formatCode="dd/mm/yyyy"/>
    </dxf>
    <dxf>
      <numFmt numFmtId="19" formatCode="dd/mm/yyyy"/>
    </dxf>
    <dxf>
      <border outline="0">
        <left style="thin">
          <color indexed="64"/>
        </left>
        <right style="thin">
          <color indexed="64"/>
        </right>
        <top style="thin">
          <color indexed="64"/>
        </top>
        <bottom style="thin">
          <color indexed="64"/>
        </bottom>
      </border>
    </dxf>
    <dxf>
      <fill>
        <patternFill>
          <bgColor theme="7"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alignment horizontal="left" vertical="bottom" textRotation="0" wrapText="0" indent="0" justifyLastLine="0" shrinkToFit="0" readingOrder="0"/>
    </dxf>
  </dxfs>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Data Analysis.xlsx]Pivot Table for pivot Chart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Sales</a:t>
            </a:r>
            <a:r>
              <a:rPr lang="en-IN" baseline="0"/>
              <a:t> vs Order</a:t>
            </a:r>
            <a:endParaRPr lang="en-IN"/>
          </a:p>
        </c:rich>
      </c:tx>
      <c:layout>
        <c:manualLayout>
          <c:xMode val="edge"/>
          <c:yMode val="edge"/>
          <c:x val="8.6117504542701381E-2"/>
          <c:y val="3.4610616933273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351754572641437E-2"/>
          <c:y val="0.18338679887236317"/>
          <c:w val="0.79981532061757887"/>
          <c:h val="0.67672048637065829"/>
        </c:manualLayout>
      </c:layout>
      <c:barChart>
        <c:barDir val="col"/>
        <c:grouping val="clustered"/>
        <c:varyColors val="0"/>
        <c:ser>
          <c:idx val="0"/>
          <c:order val="0"/>
          <c:tx>
            <c:strRef>
              <c:f>'Pivot Table for pivot Chart '!$B$3</c:f>
              <c:strCache>
                <c:ptCount val="1"/>
                <c:pt idx="0">
                  <c:v>Sum of Sales_Amount</c:v>
                </c:pt>
              </c:strCache>
            </c:strRef>
          </c:tx>
          <c:spPr>
            <a:solidFill>
              <a:schemeClr val="accent1"/>
            </a:solidFill>
            <a:ln>
              <a:noFill/>
            </a:ln>
            <a:effectLst/>
          </c:spPr>
          <c:invertIfNegative val="0"/>
          <c:cat>
            <c:strRef>
              <c:f>'Pivot Table for pivot Chart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pivot Chart '!$B$4:$B$15</c:f>
              <c:numCache>
                <c:formatCode>General</c:formatCode>
                <c:ptCount val="12"/>
                <c:pt idx="0">
                  <c:v>1705440.3977000001</c:v>
                </c:pt>
                <c:pt idx="1">
                  <c:v>1107629.7166000002</c:v>
                </c:pt>
                <c:pt idx="2">
                  <c:v>1473460.4857000005</c:v>
                </c:pt>
                <c:pt idx="3">
                  <c:v>1845567.6249999998</c:v>
                </c:pt>
                <c:pt idx="4">
                  <c:v>2253097.7260000003</c:v>
                </c:pt>
                <c:pt idx="5">
                  <c:v>2091856.5074000002</c:v>
                </c:pt>
                <c:pt idx="6">
                  <c:v>1125588.1952</c:v>
                </c:pt>
                <c:pt idx="7">
                  <c:v>1472815.7508000003</c:v>
                </c:pt>
                <c:pt idx="8">
                  <c:v>1153110.5637000001</c:v>
                </c:pt>
                <c:pt idx="9">
                  <c:v>2276406.2121000006</c:v>
                </c:pt>
                <c:pt idx="10">
                  <c:v>1457303.9493000002</c:v>
                </c:pt>
                <c:pt idx="11">
                  <c:v>1799639.0990000004</c:v>
                </c:pt>
              </c:numCache>
            </c:numRef>
          </c:val>
          <c:extLst>
            <c:ext xmlns:c16="http://schemas.microsoft.com/office/drawing/2014/chart" uri="{C3380CC4-5D6E-409C-BE32-E72D297353CC}">
              <c16:uniqueId val="{00000000-90C5-468E-95BC-73E0005A07BB}"/>
            </c:ext>
          </c:extLst>
        </c:ser>
        <c:dLbls>
          <c:showLegendKey val="0"/>
          <c:showVal val="0"/>
          <c:showCatName val="0"/>
          <c:showSerName val="0"/>
          <c:showPercent val="0"/>
          <c:showBubbleSize val="0"/>
        </c:dLbls>
        <c:gapWidth val="219"/>
        <c:axId val="1413098208"/>
        <c:axId val="1413099168"/>
      </c:barChart>
      <c:lineChart>
        <c:grouping val="standard"/>
        <c:varyColors val="0"/>
        <c:ser>
          <c:idx val="1"/>
          <c:order val="1"/>
          <c:tx>
            <c:strRef>
              <c:f>'Pivot Table for pivot Chart '!$C$3</c:f>
              <c:strCache>
                <c:ptCount val="1"/>
                <c:pt idx="0">
                  <c:v>Count of Order_ID</c:v>
                </c:pt>
              </c:strCache>
            </c:strRef>
          </c:tx>
          <c:spPr>
            <a:ln w="28575" cap="rnd">
              <a:solidFill>
                <a:schemeClr val="accent2"/>
              </a:solidFill>
              <a:round/>
            </a:ln>
            <a:effectLst/>
          </c:spPr>
          <c:marker>
            <c:symbol val="none"/>
          </c:marker>
          <c:cat>
            <c:strRef>
              <c:f>'Pivot Table for pivot Chart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pivot Chart '!$C$4:$C$15</c:f>
              <c:numCache>
                <c:formatCode>General</c:formatCode>
                <c:ptCount val="12"/>
                <c:pt idx="0">
                  <c:v>26</c:v>
                </c:pt>
                <c:pt idx="1">
                  <c:v>19</c:v>
                </c:pt>
                <c:pt idx="2">
                  <c:v>23</c:v>
                </c:pt>
                <c:pt idx="3">
                  <c:v>28</c:v>
                </c:pt>
                <c:pt idx="4">
                  <c:v>30</c:v>
                </c:pt>
                <c:pt idx="5">
                  <c:v>28</c:v>
                </c:pt>
                <c:pt idx="6">
                  <c:v>16</c:v>
                </c:pt>
                <c:pt idx="7">
                  <c:v>21</c:v>
                </c:pt>
                <c:pt idx="8">
                  <c:v>16</c:v>
                </c:pt>
                <c:pt idx="9">
                  <c:v>32</c:v>
                </c:pt>
                <c:pt idx="10">
                  <c:v>37</c:v>
                </c:pt>
                <c:pt idx="11">
                  <c:v>24</c:v>
                </c:pt>
              </c:numCache>
            </c:numRef>
          </c:val>
          <c:smooth val="0"/>
          <c:extLst>
            <c:ext xmlns:c16="http://schemas.microsoft.com/office/drawing/2014/chart" uri="{C3380CC4-5D6E-409C-BE32-E72D297353CC}">
              <c16:uniqueId val="{00000001-90C5-468E-95BC-73E0005A07BB}"/>
            </c:ext>
          </c:extLst>
        </c:ser>
        <c:dLbls>
          <c:showLegendKey val="0"/>
          <c:showVal val="0"/>
          <c:showCatName val="0"/>
          <c:showSerName val="0"/>
          <c:showPercent val="0"/>
          <c:showBubbleSize val="0"/>
        </c:dLbls>
        <c:marker val="1"/>
        <c:smooth val="0"/>
        <c:axId val="2105503935"/>
        <c:axId val="2105510655"/>
      </c:lineChart>
      <c:valAx>
        <c:axId val="1413099168"/>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98208"/>
        <c:crosses val="max"/>
        <c:crossBetween val="between"/>
      </c:valAx>
      <c:catAx>
        <c:axId val="141309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99168"/>
        <c:crosses val="autoZero"/>
        <c:auto val="1"/>
        <c:lblAlgn val="ctr"/>
        <c:lblOffset val="100"/>
        <c:noMultiLvlLbl val="0"/>
      </c:catAx>
      <c:valAx>
        <c:axId val="2105510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503935"/>
        <c:crosses val="autoZero"/>
        <c:crossBetween val="between"/>
      </c:valAx>
      <c:catAx>
        <c:axId val="2105503935"/>
        <c:scaling>
          <c:orientation val="minMax"/>
        </c:scaling>
        <c:delete val="1"/>
        <c:axPos val="b"/>
        <c:numFmt formatCode="General" sourceLinked="1"/>
        <c:majorTickMark val="out"/>
        <c:minorTickMark val="none"/>
        <c:tickLblPos val="nextTo"/>
        <c:crossAx val="2105510655"/>
        <c:crosses val="autoZero"/>
        <c:auto val="1"/>
        <c:lblAlgn val="ctr"/>
        <c:lblOffset val="100"/>
        <c:noMultiLvlLbl val="0"/>
      </c:catAx>
      <c:spPr>
        <a:noFill/>
        <a:ln>
          <a:noFill/>
        </a:ln>
        <a:effectLst/>
      </c:spPr>
    </c:plotArea>
    <c:legend>
      <c:legendPos val="r"/>
      <c:layout>
        <c:manualLayout>
          <c:xMode val="edge"/>
          <c:yMode val="edge"/>
          <c:x val="0.38456258642560825"/>
          <c:y val="2.7726257661832867E-2"/>
          <c:w val="0.31467550722262722"/>
          <c:h val="0.277912460051883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Data Analysis.xlsx]Pivot Table for pivot Chart !PivotTable2</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vs Age Group</a:t>
            </a:r>
            <a:endParaRPr lang="en-US" sz="1200"/>
          </a:p>
        </c:rich>
      </c:tx>
      <c:layout>
        <c:manualLayout>
          <c:xMode val="edge"/>
          <c:yMode val="edge"/>
          <c:x val="0.16924487388148635"/>
          <c:y val="3.732999967616326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8.611111111111111E-2"/>
              <c:y val="0.166666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833333333333334"/>
              <c:y val="-0.2245370370370371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39195100612424"/>
                  <c:h val="0.14913823272090987"/>
                </c:manualLayout>
              </c15:layout>
            </c:ext>
          </c:extLst>
        </c:dLbl>
      </c:pivotFmt>
      <c:pivotFmt>
        <c:idx val="3"/>
        <c:spPr>
          <a:solidFill>
            <a:schemeClr val="accent1"/>
          </a:solidFill>
          <a:ln w="19050">
            <a:solidFill>
              <a:schemeClr val="lt1"/>
            </a:solidFill>
          </a:ln>
          <a:effectLst/>
        </c:spPr>
        <c:dLbl>
          <c:idx val="0"/>
          <c:layout>
            <c:manualLayout>
              <c:x val="-0.13055555555555556"/>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055555555555556"/>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833333333333334"/>
              <c:y val="-0.2245370370370371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39195100612424"/>
                  <c:h val="0.14913823272090987"/>
                </c:manualLayout>
              </c15:layout>
            </c:ext>
          </c:extLst>
        </c:dLbl>
      </c:pivotFmt>
      <c:pivotFmt>
        <c:idx val="7"/>
        <c:spPr>
          <a:solidFill>
            <a:schemeClr val="accent1"/>
          </a:solidFill>
          <a:ln w="19050">
            <a:solidFill>
              <a:schemeClr val="lt1"/>
            </a:solidFill>
          </a:ln>
          <a:effectLst/>
        </c:spPr>
        <c:dLbl>
          <c:idx val="0"/>
          <c:layout>
            <c:manualLayout>
              <c:x val="8.611111111111111E-2"/>
              <c:y val="0.166666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2491027620959952"/>
              <c:y val="0.113865460356242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7752698444260007"/>
              <c:y val="-0.1855371711493281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7925322465768"/>
                  <c:h val="0.22713796449632781"/>
                </c:manualLayout>
              </c15:layout>
            </c:ext>
          </c:extLst>
        </c:dLbl>
      </c:pivotFmt>
      <c:pivotFmt>
        <c:idx val="11"/>
        <c:spPr>
          <a:solidFill>
            <a:schemeClr val="accent1"/>
          </a:solidFill>
          <a:ln w="19050">
            <a:solidFill>
              <a:schemeClr val="lt1"/>
            </a:solidFill>
          </a:ln>
          <a:effectLst/>
        </c:spPr>
        <c:dLbl>
          <c:idx val="0"/>
          <c:layout>
            <c:manualLayout>
              <c:x val="0.16159494872147934"/>
              <c:y val="0.237575557250425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469116467384497"/>
          <c:y val="0.16192860359955288"/>
          <c:w val="0.68995065800136413"/>
          <c:h val="0.77377644628241482"/>
        </c:manualLayout>
      </c:layout>
      <c:pieChart>
        <c:varyColors val="1"/>
        <c:ser>
          <c:idx val="0"/>
          <c:order val="0"/>
          <c:tx>
            <c:strRef>
              <c:f>'Pivot Table for pivot Chart '!$F$3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53-42CA-934B-AA5BE6BA7E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53-42CA-934B-AA5BE6BA7E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53-42CA-934B-AA5BE6BA7EB9}"/>
              </c:ext>
            </c:extLst>
          </c:dPt>
          <c:dLbls>
            <c:dLbl>
              <c:idx val="0"/>
              <c:layout>
                <c:manualLayout>
                  <c:x val="-0.22491027620959952"/>
                  <c:y val="0.113865460356242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153-42CA-934B-AA5BE6BA7EB9}"/>
                </c:ext>
              </c:extLst>
            </c:dLbl>
            <c:dLbl>
              <c:idx val="1"/>
              <c:layout>
                <c:manualLayout>
                  <c:x val="0.17752698444260007"/>
                  <c:y val="-0.1855371711493281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7925322465768"/>
                      <c:h val="0.22713796449632781"/>
                    </c:manualLayout>
                  </c15:layout>
                </c:ext>
                <c:ext xmlns:c16="http://schemas.microsoft.com/office/drawing/2014/chart" uri="{C3380CC4-5D6E-409C-BE32-E72D297353CC}">
                  <c16:uniqueId val="{00000003-0153-42CA-934B-AA5BE6BA7EB9}"/>
                </c:ext>
              </c:extLst>
            </c:dLbl>
            <c:dLbl>
              <c:idx val="2"/>
              <c:layout>
                <c:manualLayout>
                  <c:x val="0.16159494872147934"/>
                  <c:y val="0.237575557250425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153-42CA-934B-AA5BE6BA7EB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for pivot Chart '!$E$4:$E$7</c:f>
              <c:strCache>
                <c:ptCount val="3"/>
                <c:pt idx="0">
                  <c:v>Adult</c:v>
                </c:pt>
                <c:pt idx="1">
                  <c:v>Senior</c:v>
                </c:pt>
                <c:pt idx="2">
                  <c:v>Young</c:v>
                </c:pt>
              </c:strCache>
            </c:strRef>
          </c:cat>
          <c:val>
            <c:numRef>
              <c:f>'Pivot Table for pivot Chart '!$F$4:$F$7</c:f>
              <c:numCache>
                <c:formatCode>General</c:formatCode>
                <c:ptCount val="3"/>
                <c:pt idx="0">
                  <c:v>6554553.7282999987</c:v>
                </c:pt>
                <c:pt idx="1">
                  <c:v>9815584.9555999953</c:v>
                </c:pt>
                <c:pt idx="2">
                  <c:v>3391777.5445999997</c:v>
                </c:pt>
              </c:numCache>
            </c:numRef>
          </c:val>
          <c:extLst>
            <c:ext xmlns:c16="http://schemas.microsoft.com/office/drawing/2014/chart" uri="{C3380CC4-5D6E-409C-BE32-E72D297353CC}">
              <c16:uniqueId val="{00000006-0153-42CA-934B-AA5BE6BA7EB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Data Analysis.xlsx]Pivot Table for pivot Chart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vs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pivot Chart '!$F$16</c:f>
              <c:strCache>
                <c:ptCount val="1"/>
                <c:pt idx="0">
                  <c:v>Total</c:v>
                </c:pt>
              </c:strCache>
            </c:strRef>
          </c:tx>
          <c:spPr>
            <a:solidFill>
              <a:schemeClr val="accent1"/>
            </a:solidFill>
            <a:ln>
              <a:noFill/>
            </a:ln>
            <a:effectLst/>
          </c:spPr>
          <c:invertIfNegative val="0"/>
          <c:cat>
            <c:strRef>
              <c:f>'Pivot Table for pivot Chart '!$E$17:$E$21</c:f>
              <c:strCache>
                <c:ptCount val="5"/>
                <c:pt idx="0">
                  <c:v>Delhi</c:v>
                </c:pt>
                <c:pt idx="1">
                  <c:v>Karnataka</c:v>
                </c:pt>
                <c:pt idx="2">
                  <c:v>Maharashtra</c:v>
                </c:pt>
                <c:pt idx="3">
                  <c:v>Tamil Nadu</c:v>
                </c:pt>
                <c:pt idx="4">
                  <c:v>West Bengal</c:v>
                </c:pt>
              </c:strCache>
            </c:strRef>
          </c:cat>
          <c:val>
            <c:numRef>
              <c:f>'Pivot Table for pivot Chart '!$F$17:$F$21</c:f>
              <c:numCache>
                <c:formatCode>General</c:formatCode>
                <c:ptCount val="5"/>
                <c:pt idx="0">
                  <c:v>3250546.0256000008</c:v>
                </c:pt>
                <c:pt idx="1">
                  <c:v>5497247.0625999998</c:v>
                </c:pt>
                <c:pt idx="2">
                  <c:v>3681359.9381999997</c:v>
                </c:pt>
                <c:pt idx="3">
                  <c:v>2951538.3359000003</c:v>
                </c:pt>
                <c:pt idx="4">
                  <c:v>4381224.8662</c:v>
                </c:pt>
              </c:numCache>
            </c:numRef>
          </c:val>
          <c:extLst>
            <c:ext xmlns:c16="http://schemas.microsoft.com/office/drawing/2014/chart" uri="{C3380CC4-5D6E-409C-BE32-E72D297353CC}">
              <c16:uniqueId val="{00000001-5847-44D1-904E-F19AD429E3B0}"/>
            </c:ext>
          </c:extLst>
        </c:ser>
        <c:dLbls>
          <c:showLegendKey val="0"/>
          <c:showVal val="0"/>
          <c:showCatName val="0"/>
          <c:showSerName val="0"/>
          <c:showPercent val="0"/>
          <c:showBubbleSize val="0"/>
        </c:dLbls>
        <c:gapWidth val="182"/>
        <c:axId val="1677842655"/>
        <c:axId val="1677840735"/>
      </c:barChart>
      <c:catAx>
        <c:axId val="167784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40735"/>
        <c:crosses val="autoZero"/>
        <c:auto val="1"/>
        <c:lblAlgn val="ctr"/>
        <c:lblOffset val="100"/>
        <c:noMultiLvlLbl val="0"/>
      </c:catAx>
      <c:valAx>
        <c:axId val="1677840735"/>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4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Data Analysis.xlsx]Pivot Table for pivot Chart !PivotTable7</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Order Status vs Customer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pivot Chart '!$I$2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for pivot Chart '!$H$3:$H$12</c:f>
              <c:multiLvlStrCache>
                <c:ptCount val="6"/>
                <c:lvl>
                  <c:pt idx="0">
                    <c:v>Offline</c:v>
                  </c:pt>
                  <c:pt idx="1">
                    <c:v>Online</c:v>
                  </c:pt>
                  <c:pt idx="2">
                    <c:v>Offline</c:v>
                  </c:pt>
                  <c:pt idx="3">
                    <c:v>Online</c:v>
                  </c:pt>
                  <c:pt idx="4">
                    <c:v>Offline</c:v>
                  </c:pt>
                  <c:pt idx="5">
                    <c:v>Online</c:v>
                  </c:pt>
                </c:lvl>
                <c:lvl>
                  <c:pt idx="0">
                    <c:v>Cancelled</c:v>
                  </c:pt>
                  <c:pt idx="2">
                    <c:v>Delivered</c:v>
                  </c:pt>
                  <c:pt idx="4">
                    <c:v>Returned</c:v>
                  </c:pt>
                </c:lvl>
              </c:multiLvlStrCache>
            </c:multiLvlStrRef>
          </c:cat>
          <c:val>
            <c:numRef>
              <c:f>'Pivot Table for pivot Chart '!$I$3:$I$12</c:f>
              <c:numCache>
                <c:formatCode>0.00%</c:formatCode>
                <c:ptCount val="6"/>
                <c:pt idx="0">
                  <c:v>0.17406210679808623</c:v>
                </c:pt>
                <c:pt idx="1">
                  <c:v>0.15381940597522362</c:v>
                </c:pt>
                <c:pt idx="2">
                  <c:v>0.15436710408682625</c:v>
                </c:pt>
                <c:pt idx="3">
                  <c:v>0.17897201846242516</c:v>
                </c:pt>
                <c:pt idx="4">
                  <c:v>0.13126867972746706</c:v>
                </c:pt>
                <c:pt idx="5">
                  <c:v>0.20751068494997188</c:v>
                </c:pt>
              </c:numCache>
            </c:numRef>
          </c:val>
          <c:extLst>
            <c:ext xmlns:c16="http://schemas.microsoft.com/office/drawing/2014/chart" uri="{C3380CC4-5D6E-409C-BE32-E72D297353CC}">
              <c16:uniqueId val="{00000000-258C-4DBF-B516-D72A815D4147}"/>
            </c:ext>
          </c:extLst>
        </c:ser>
        <c:dLbls>
          <c:showLegendKey val="0"/>
          <c:showVal val="0"/>
          <c:showCatName val="0"/>
          <c:showSerName val="0"/>
          <c:showPercent val="0"/>
          <c:showBubbleSize val="0"/>
        </c:dLbls>
        <c:gapWidth val="100"/>
        <c:overlap val="-24"/>
        <c:axId val="1908821663"/>
        <c:axId val="1908833663"/>
      </c:barChart>
      <c:catAx>
        <c:axId val="1908821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833663"/>
        <c:crosses val="autoZero"/>
        <c:auto val="1"/>
        <c:lblAlgn val="ctr"/>
        <c:lblOffset val="100"/>
        <c:noMultiLvlLbl val="0"/>
      </c:catAx>
      <c:valAx>
        <c:axId val="1908833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82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Data Analysis.xlsx]Pivot Table for pivot Chart !PivotTable8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92038495188118E-2"/>
          <c:y val="0.17171296296296298"/>
          <c:w val="0.90286351706036749"/>
          <c:h val="0.72088764946048411"/>
        </c:manualLayout>
      </c:layout>
      <c:lineChart>
        <c:grouping val="standard"/>
        <c:varyColors val="0"/>
        <c:ser>
          <c:idx val="0"/>
          <c:order val="0"/>
          <c:tx>
            <c:strRef>
              <c:f>'Pivot Table for pivot Chart '!$I$15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for pivot Chart '!$H$16:$H$28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pivot Chart '!$I$16:$I$28</c:f>
              <c:numCache>
                <c:formatCode>General</c:formatCode>
                <c:ptCount val="12"/>
                <c:pt idx="0">
                  <c:v>26</c:v>
                </c:pt>
                <c:pt idx="1">
                  <c:v>19</c:v>
                </c:pt>
                <c:pt idx="2">
                  <c:v>23</c:v>
                </c:pt>
                <c:pt idx="3">
                  <c:v>28</c:v>
                </c:pt>
                <c:pt idx="4">
                  <c:v>30</c:v>
                </c:pt>
                <c:pt idx="5">
                  <c:v>28</c:v>
                </c:pt>
                <c:pt idx="6">
                  <c:v>16</c:v>
                </c:pt>
                <c:pt idx="7">
                  <c:v>21</c:v>
                </c:pt>
                <c:pt idx="8">
                  <c:v>16</c:v>
                </c:pt>
                <c:pt idx="9">
                  <c:v>32</c:v>
                </c:pt>
                <c:pt idx="10">
                  <c:v>37</c:v>
                </c:pt>
                <c:pt idx="11">
                  <c:v>24</c:v>
                </c:pt>
              </c:numCache>
            </c:numRef>
          </c:val>
          <c:smooth val="0"/>
          <c:extLst>
            <c:ext xmlns:c16="http://schemas.microsoft.com/office/drawing/2014/chart" uri="{C3380CC4-5D6E-409C-BE32-E72D297353CC}">
              <c16:uniqueId val="{00000000-EEE9-443E-B615-45C104BE7987}"/>
            </c:ext>
          </c:extLst>
        </c:ser>
        <c:dLbls>
          <c:dLblPos val="ctr"/>
          <c:showLegendKey val="0"/>
          <c:showVal val="1"/>
          <c:showCatName val="0"/>
          <c:showSerName val="0"/>
          <c:showPercent val="0"/>
          <c:showBubbleSize val="0"/>
        </c:dLbls>
        <c:marker val="1"/>
        <c:smooth val="0"/>
        <c:axId val="1908795743"/>
        <c:axId val="1908821183"/>
      </c:lineChart>
      <c:catAx>
        <c:axId val="1908795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821183"/>
        <c:crosses val="autoZero"/>
        <c:auto val="1"/>
        <c:lblAlgn val="ctr"/>
        <c:lblOffset val="100"/>
        <c:noMultiLvlLbl val="0"/>
      </c:catAx>
      <c:valAx>
        <c:axId val="19088211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79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Data Analysis.xlsx]Pivot Table for pivot Chart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a:sp3d contourW="25400">
            <a:contourClr>
              <a:schemeClr val="lt1"/>
            </a:contourClr>
          </a:sp3d>
        </c:spPr>
        <c:dLbl>
          <c:idx val="0"/>
          <c:layout>
            <c:manualLayout>
              <c:x val="-0.18776630900412059"/>
              <c:y val="7.008475719191227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8226918526376"/>
                  <c:h val="0.191336715321652"/>
                </c:manualLayout>
              </c15:layout>
            </c:ext>
          </c:extLst>
        </c:dLbl>
      </c:pivotFmt>
      <c:pivotFmt>
        <c:idx val="2"/>
        <c:spPr>
          <a:solidFill>
            <a:schemeClr val="accent2"/>
          </a:solidFill>
          <a:ln w="19050">
            <a:solidFill>
              <a:schemeClr val="lt1"/>
            </a:solidFill>
          </a:ln>
          <a:effectLst/>
          <a:sp3d contourW="25400">
            <a:contourClr>
              <a:schemeClr val="lt1"/>
            </a:contourClr>
          </a:sp3d>
        </c:spPr>
        <c:dLbl>
          <c:idx val="0"/>
          <c:layout>
            <c:manualLayout>
              <c:x val="0.19572559259108155"/>
              <c:y val="6.018528316371520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15180939170171"/>
                  <c:h val="0.191336715321652"/>
                </c:manualLayout>
              </c15:layout>
            </c:ext>
          </c:extLst>
        </c:dLbl>
      </c:pivotFmt>
      <c:pivotFmt>
        <c:idx val="3"/>
        <c:spPr>
          <a:solidFill>
            <a:schemeClr val="accent2"/>
          </a:solidFill>
          <a:ln w="19050">
            <a:solidFill>
              <a:schemeClr val="lt1"/>
            </a:solidFill>
          </a:ln>
          <a:effectLst/>
          <a:sp3d contourW="25400">
            <a:contourClr>
              <a:schemeClr val="lt1"/>
            </a:contourClr>
          </a:sp3d>
        </c:spPr>
        <c:dLbl>
          <c:idx val="0"/>
          <c:layout>
            <c:manualLayout>
              <c:x val="2.3690383909265179E-2"/>
              <c:y val="-0.3057018663180936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131899963281789"/>
                  <c:h val="0.191336715321652"/>
                </c:manualLayout>
              </c15:layout>
            </c:ext>
          </c:extLst>
        </c:dLbl>
      </c:pivotFmt>
      <c:pivotFmt>
        <c:idx val="4"/>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a:sp3d contourW="25400">
            <a:contourClr>
              <a:schemeClr val="lt1"/>
            </a:contourClr>
          </a:sp3d>
        </c:spPr>
        <c:dLbl>
          <c:idx val="0"/>
          <c:layout>
            <c:manualLayout>
              <c:x val="-0.18776630900412059"/>
              <c:y val="7.008475719191227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8226918526376"/>
                  <c:h val="0.191336715321652"/>
                </c:manualLayout>
              </c15:layout>
            </c:ext>
          </c:extLst>
        </c:dLbl>
      </c:pivotFmt>
      <c:pivotFmt>
        <c:idx val="6"/>
        <c:spPr>
          <a:solidFill>
            <a:schemeClr val="accent2"/>
          </a:solidFill>
          <a:ln w="19050">
            <a:solidFill>
              <a:schemeClr val="lt1"/>
            </a:solidFill>
          </a:ln>
          <a:effectLst/>
          <a:sp3d contourW="25400">
            <a:contourClr>
              <a:schemeClr val="lt1"/>
            </a:contourClr>
          </a:sp3d>
        </c:spPr>
        <c:dLbl>
          <c:idx val="0"/>
          <c:layout>
            <c:manualLayout>
              <c:x val="2.3690383909265179E-2"/>
              <c:y val="-0.3057018663180936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131899963281789"/>
                  <c:h val="0.191336715321652"/>
                </c:manualLayout>
              </c15:layout>
            </c:ext>
          </c:extLst>
        </c:dLbl>
      </c:pivotFmt>
      <c:pivotFmt>
        <c:idx val="7"/>
        <c:spPr>
          <a:solidFill>
            <a:schemeClr val="accent2"/>
          </a:solidFill>
          <a:ln w="19050">
            <a:solidFill>
              <a:schemeClr val="lt1"/>
            </a:solidFill>
          </a:ln>
          <a:effectLst/>
          <a:sp3d contourW="25400">
            <a:contourClr>
              <a:schemeClr val="lt1"/>
            </a:contourClr>
          </a:sp3d>
        </c:spPr>
        <c:dLbl>
          <c:idx val="0"/>
          <c:layout>
            <c:manualLayout>
              <c:x val="0.19572559259108155"/>
              <c:y val="6.018528316371520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15180939170171"/>
                  <c:h val="0.191336715321652"/>
                </c:manualLayout>
              </c15:layout>
            </c:ext>
          </c:extLst>
        </c:dLbl>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25400">
            <a:solidFill>
              <a:schemeClr val="lt1"/>
            </a:solidFill>
          </a:ln>
          <a:effectLst/>
          <a:sp3d contourW="25400">
            <a:contourClr>
              <a:schemeClr val="lt1"/>
            </a:contourClr>
          </a:sp3d>
        </c:spPr>
        <c:dLbl>
          <c:idx val="0"/>
          <c:layout>
            <c:manualLayout>
              <c:x val="-0.18776630900412059"/>
              <c:y val="7.008475719191227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8226918526376"/>
                  <c:h val="0.191336715321652"/>
                </c:manualLayout>
              </c15:layout>
            </c:ext>
          </c:extLst>
        </c:dLbl>
      </c:pivotFmt>
      <c:pivotFmt>
        <c:idx val="10"/>
        <c:spPr>
          <a:solidFill>
            <a:schemeClr val="accent2"/>
          </a:solidFill>
          <a:ln w="25400">
            <a:solidFill>
              <a:schemeClr val="lt1"/>
            </a:solidFill>
          </a:ln>
          <a:effectLst/>
          <a:sp3d contourW="25400">
            <a:contourClr>
              <a:schemeClr val="lt1"/>
            </a:contourClr>
          </a:sp3d>
        </c:spPr>
        <c:dLbl>
          <c:idx val="0"/>
          <c:layout>
            <c:manualLayout>
              <c:x val="2.3690383909265179E-2"/>
              <c:y val="-0.3057018663180936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131899963281789"/>
                  <c:h val="0.191336715321652"/>
                </c:manualLayout>
              </c15:layout>
            </c:ext>
          </c:extLst>
        </c:dLbl>
      </c:pivotFmt>
      <c:pivotFmt>
        <c:idx val="11"/>
        <c:spPr>
          <a:solidFill>
            <a:schemeClr val="accent2"/>
          </a:solidFill>
          <a:ln w="25400">
            <a:solidFill>
              <a:schemeClr val="lt1"/>
            </a:solidFill>
          </a:ln>
          <a:effectLst/>
          <a:sp3d contourW="25400">
            <a:contourClr>
              <a:schemeClr val="lt1"/>
            </a:contourClr>
          </a:sp3d>
        </c:spPr>
        <c:dLbl>
          <c:idx val="0"/>
          <c:layout>
            <c:manualLayout>
              <c:x val="0.19572559259108155"/>
              <c:y val="6.018528316371520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15180939170171"/>
                  <c:h val="0.19133671532165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541022398106967E-2"/>
          <c:y val="0.17174857095432239"/>
          <c:w val="0.81388888888888888"/>
          <c:h val="0.66745953630796151"/>
        </c:manualLayout>
      </c:layout>
      <c:pie3DChart>
        <c:varyColors val="1"/>
        <c:ser>
          <c:idx val="0"/>
          <c:order val="0"/>
          <c:tx>
            <c:strRef>
              <c:f>'Pivot Table for pivot Chart '!$F$10</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21B5-4890-A0DC-27A95428A2D2}"/>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21B5-4890-A0DC-27A95428A2D2}"/>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21B5-4890-A0DC-27A95428A2D2}"/>
              </c:ext>
            </c:extLst>
          </c:dPt>
          <c:dLbls>
            <c:dLbl>
              <c:idx val="0"/>
              <c:layout>
                <c:manualLayout>
                  <c:x val="-0.18776630900412059"/>
                  <c:y val="7.008475719191227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8226918526376"/>
                      <c:h val="0.191336715321652"/>
                    </c:manualLayout>
                  </c15:layout>
                </c:ext>
                <c:ext xmlns:c16="http://schemas.microsoft.com/office/drawing/2014/chart" uri="{C3380CC4-5D6E-409C-BE32-E72D297353CC}">
                  <c16:uniqueId val="{00000001-21B5-4890-A0DC-27A95428A2D2}"/>
                </c:ext>
              </c:extLst>
            </c:dLbl>
            <c:dLbl>
              <c:idx val="1"/>
              <c:layout>
                <c:manualLayout>
                  <c:x val="2.3690383909265179E-2"/>
                  <c:y val="-0.3057018663180936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131899963281789"/>
                      <c:h val="0.191336715321652"/>
                    </c:manualLayout>
                  </c15:layout>
                </c:ext>
                <c:ext xmlns:c16="http://schemas.microsoft.com/office/drawing/2014/chart" uri="{C3380CC4-5D6E-409C-BE32-E72D297353CC}">
                  <c16:uniqueId val="{00000003-21B5-4890-A0DC-27A95428A2D2}"/>
                </c:ext>
              </c:extLst>
            </c:dLbl>
            <c:dLbl>
              <c:idx val="2"/>
              <c:layout>
                <c:manualLayout>
                  <c:x val="0.19572559259108155"/>
                  <c:y val="6.018528316371520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15180939170171"/>
                      <c:h val="0.191336715321652"/>
                    </c:manualLayout>
                  </c15:layout>
                </c:ext>
                <c:ext xmlns:c16="http://schemas.microsoft.com/office/drawing/2014/chart" uri="{C3380CC4-5D6E-409C-BE32-E72D297353CC}">
                  <c16:uniqueId val="{00000005-21B5-4890-A0DC-27A95428A2D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for pivot Chart '!$E$11:$E$14</c:f>
              <c:strCache>
                <c:ptCount val="3"/>
                <c:pt idx="0">
                  <c:v>Cancelled</c:v>
                </c:pt>
                <c:pt idx="1">
                  <c:v>Delivered</c:v>
                </c:pt>
                <c:pt idx="2">
                  <c:v>Returned</c:v>
                </c:pt>
              </c:strCache>
            </c:strRef>
          </c:cat>
          <c:val>
            <c:numRef>
              <c:f>'Pivot Table for pivot Chart '!$F$11:$F$14</c:f>
              <c:numCache>
                <c:formatCode>General</c:formatCode>
                <c:ptCount val="3"/>
                <c:pt idx="0">
                  <c:v>98</c:v>
                </c:pt>
                <c:pt idx="1">
                  <c:v>106</c:v>
                </c:pt>
                <c:pt idx="2">
                  <c:v>96</c:v>
                </c:pt>
              </c:numCache>
            </c:numRef>
          </c:val>
          <c:extLst>
            <c:ext xmlns:c16="http://schemas.microsoft.com/office/drawing/2014/chart" uri="{C3380CC4-5D6E-409C-BE32-E72D297353CC}">
              <c16:uniqueId val="{00000006-21B5-4890-A0DC-27A95428A2D2}"/>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Data Analysis.xlsx]Pivot Table for pivot Chart !PivotTable9</c:name>
    <c:fmtId val="2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for pivot Chart '!$B$26:$B$27</c:f>
              <c:strCache>
                <c:ptCount val="1"/>
                <c:pt idx="0">
                  <c:v>Clothing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for pivot Chart '!$A$28:$A$39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pivot Chart '!$B$28:$B$39</c:f>
              <c:numCache>
                <c:formatCode>General</c:formatCode>
                <c:ptCount val="12"/>
                <c:pt idx="0">
                  <c:v>-16610.719300000044</c:v>
                </c:pt>
                <c:pt idx="1">
                  <c:v>-374.48899999999776</c:v>
                </c:pt>
                <c:pt idx="2">
                  <c:v>3784.315599999989</c:v>
                </c:pt>
                <c:pt idx="3">
                  <c:v>7485.1945999999916</c:v>
                </c:pt>
                <c:pt idx="4">
                  <c:v>-29033.433499999985</c:v>
                </c:pt>
                <c:pt idx="5">
                  <c:v>15617.033499999994</c:v>
                </c:pt>
                <c:pt idx="6">
                  <c:v>-13743.792000000005</c:v>
                </c:pt>
                <c:pt idx="7">
                  <c:v>16578.288499999981</c:v>
                </c:pt>
                <c:pt idx="8">
                  <c:v>-3650.6370000000024</c:v>
                </c:pt>
                <c:pt idx="9">
                  <c:v>-3885.6436999999896</c:v>
                </c:pt>
                <c:pt idx="10">
                  <c:v>-14237.729399999997</c:v>
                </c:pt>
                <c:pt idx="11">
                  <c:v>24983.216900000047</c:v>
                </c:pt>
              </c:numCache>
            </c:numRef>
          </c:val>
          <c:smooth val="0"/>
          <c:extLst>
            <c:ext xmlns:c16="http://schemas.microsoft.com/office/drawing/2014/chart" uri="{C3380CC4-5D6E-409C-BE32-E72D297353CC}">
              <c16:uniqueId val="{00000000-D8B4-41F7-9154-08349FC2696B}"/>
            </c:ext>
          </c:extLst>
        </c:ser>
        <c:ser>
          <c:idx val="1"/>
          <c:order val="1"/>
          <c:tx>
            <c:strRef>
              <c:f>'Pivot Table for pivot Chart '!$C$26:$C$27</c:f>
              <c:strCache>
                <c:ptCount val="1"/>
                <c:pt idx="0">
                  <c:v>Electronics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for pivot Chart '!$A$28:$A$39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pivot Chart '!$C$28:$C$39</c:f>
              <c:numCache>
                <c:formatCode>General</c:formatCode>
                <c:ptCount val="12"/>
                <c:pt idx="0">
                  <c:v>-35902.066500000001</c:v>
                </c:pt>
                <c:pt idx="1">
                  <c:v>12170.901899999999</c:v>
                </c:pt>
                <c:pt idx="2">
                  <c:v>-1649.250700000026</c:v>
                </c:pt>
                <c:pt idx="3">
                  <c:v>-17636.706800000007</c:v>
                </c:pt>
                <c:pt idx="4">
                  <c:v>3610.3329999999951</c:v>
                </c:pt>
                <c:pt idx="5">
                  <c:v>29671.468600000026</c:v>
                </c:pt>
                <c:pt idx="6">
                  <c:v>-17575.291999999983</c:v>
                </c:pt>
                <c:pt idx="7">
                  <c:v>-3971.2898999999952</c:v>
                </c:pt>
                <c:pt idx="8">
                  <c:v>-4866.9036000000015</c:v>
                </c:pt>
                <c:pt idx="9">
                  <c:v>-55162.579100000046</c:v>
                </c:pt>
                <c:pt idx="10">
                  <c:v>1586.2484000000222</c:v>
                </c:pt>
                <c:pt idx="11">
                  <c:v>-24587.29669999997</c:v>
                </c:pt>
              </c:numCache>
            </c:numRef>
          </c:val>
          <c:smooth val="0"/>
          <c:extLst>
            <c:ext xmlns:c16="http://schemas.microsoft.com/office/drawing/2014/chart" uri="{C3380CC4-5D6E-409C-BE32-E72D297353CC}">
              <c16:uniqueId val="{00000001-D8B4-41F7-9154-08349FC2696B}"/>
            </c:ext>
          </c:extLst>
        </c:ser>
        <c:ser>
          <c:idx val="2"/>
          <c:order val="2"/>
          <c:tx>
            <c:strRef>
              <c:f>'Pivot Table for pivot Chart '!$D$26:$D$27</c:f>
              <c:strCache>
                <c:ptCount val="1"/>
                <c:pt idx="0">
                  <c:v>Food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 for pivot Chart '!$A$28:$A$39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pivot Chart '!$D$28:$D$39</c:f>
              <c:numCache>
                <c:formatCode>General</c:formatCode>
                <c:ptCount val="12"/>
                <c:pt idx="0">
                  <c:v>20802.527599999998</c:v>
                </c:pt>
                <c:pt idx="1">
                  <c:v>24969.750299999992</c:v>
                </c:pt>
                <c:pt idx="2">
                  <c:v>17250.36960000002</c:v>
                </c:pt>
                <c:pt idx="3">
                  <c:v>10722.656099999956</c:v>
                </c:pt>
                <c:pt idx="4">
                  <c:v>-14109.453799999959</c:v>
                </c:pt>
                <c:pt idx="5">
                  <c:v>-20719.604799999972</c:v>
                </c:pt>
                <c:pt idx="6">
                  <c:v>16614.74950000002</c:v>
                </c:pt>
                <c:pt idx="7">
                  <c:v>18.936600000037288</c:v>
                </c:pt>
                <c:pt idx="8">
                  <c:v>6268.713099999939</c:v>
                </c:pt>
                <c:pt idx="9">
                  <c:v>-5249.3038999999881</c:v>
                </c:pt>
                <c:pt idx="10">
                  <c:v>-35.251299999996263</c:v>
                </c:pt>
                <c:pt idx="11">
                  <c:v>5960.251299999989</c:v>
                </c:pt>
              </c:numCache>
            </c:numRef>
          </c:val>
          <c:smooth val="0"/>
          <c:extLst>
            <c:ext xmlns:c16="http://schemas.microsoft.com/office/drawing/2014/chart" uri="{C3380CC4-5D6E-409C-BE32-E72D297353CC}">
              <c16:uniqueId val="{00000002-D8B4-41F7-9154-08349FC2696B}"/>
            </c:ext>
          </c:extLst>
        </c:ser>
        <c:ser>
          <c:idx val="3"/>
          <c:order val="3"/>
          <c:tx>
            <c:strRef>
              <c:f>'Pivot Table for pivot Chart '!$E$26:$E$27</c:f>
              <c:strCache>
                <c:ptCount val="1"/>
                <c:pt idx="0">
                  <c:v>Furniture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 for pivot Chart '!$A$28:$A$39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for pivot Chart '!$E$28:$E$39</c:f>
              <c:numCache>
                <c:formatCode>General</c:formatCode>
                <c:ptCount val="12"/>
                <c:pt idx="0">
                  <c:v>-22447.664100000038</c:v>
                </c:pt>
                <c:pt idx="1">
                  <c:v>32021.213400000008</c:v>
                </c:pt>
                <c:pt idx="2">
                  <c:v>-25175.468800000006</c:v>
                </c:pt>
                <c:pt idx="3">
                  <c:v>12263.92109999998</c:v>
                </c:pt>
                <c:pt idx="4">
                  <c:v>56854.190300000075</c:v>
                </c:pt>
                <c:pt idx="5">
                  <c:v>25641.14010000007</c:v>
                </c:pt>
                <c:pt idx="6">
                  <c:v>-430.75030000000152</c:v>
                </c:pt>
                <c:pt idx="7">
                  <c:v>14104.795599999987</c:v>
                </c:pt>
                <c:pt idx="8">
                  <c:v>-2519.768799999998</c:v>
                </c:pt>
                <c:pt idx="9">
                  <c:v>4039.8487999999634</c:v>
                </c:pt>
                <c:pt idx="10">
                  <c:v>23082.651600000019</c:v>
                </c:pt>
                <c:pt idx="11">
                  <c:v>-20961.502500000031</c:v>
                </c:pt>
              </c:numCache>
            </c:numRef>
          </c:val>
          <c:smooth val="0"/>
          <c:extLst>
            <c:ext xmlns:c16="http://schemas.microsoft.com/office/drawing/2014/chart" uri="{C3380CC4-5D6E-409C-BE32-E72D297353CC}">
              <c16:uniqueId val="{00000003-D8B4-41F7-9154-08349FC2696B}"/>
            </c:ext>
          </c:extLst>
        </c:ser>
        <c:dLbls>
          <c:showLegendKey val="0"/>
          <c:showVal val="0"/>
          <c:showCatName val="0"/>
          <c:showSerName val="0"/>
          <c:showPercent val="0"/>
          <c:showBubbleSize val="0"/>
        </c:dLbls>
        <c:marker val="1"/>
        <c:smooth val="0"/>
        <c:axId val="1885433855"/>
        <c:axId val="1885439135"/>
      </c:lineChart>
      <c:catAx>
        <c:axId val="18854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439135"/>
        <c:crosses val="autoZero"/>
        <c:auto val="1"/>
        <c:lblAlgn val="ctr"/>
        <c:lblOffset val="100"/>
        <c:noMultiLvlLbl val="0"/>
      </c:catAx>
      <c:valAx>
        <c:axId val="188543913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4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175867</xdr:colOff>
      <xdr:row>1</xdr:row>
      <xdr:rowOff>21627</xdr:rowOff>
    </xdr:from>
    <xdr:to>
      <xdr:col>10</xdr:col>
      <xdr:colOff>128841</xdr:colOff>
      <xdr:row>9</xdr:row>
      <xdr:rowOff>91477</xdr:rowOff>
    </xdr:to>
    <xdr:graphicFrame macro="">
      <xdr:nvGraphicFramePr>
        <xdr:cNvPr id="2" name="Chart 1">
          <a:extLst>
            <a:ext uri="{FF2B5EF4-FFF2-40B4-BE49-F238E27FC236}">
              <a16:creationId xmlns:a16="http://schemas.microsoft.com/office/drawing/2014/main" id="{8FB06813-81FA-4FEA-B06B-A9593EE10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384045</xdr:colOff>
      <xdr:row>1</xdr:row>
      <xdr:rowOff>82472</xdr:rowOff>
    </xdr:from>
    <xdr:to>
      <xdr:col>14</xdr:col>
      <xdr:colOff>193261</xdr:colOff>
      <xdr:row>11</xdr:row>
      <xdr:rowOff>36812</xdr:rowOff>
    </xdr:to>
    <xdr:graphicFrame macro="">
      <xdr:nvGraphicFramePr>
        <xdr:cNvPr id="3" name="Chart 2">
          <a:extLst>
            <a:ext uri="{FF2B5EF4-FFF2-40B4-BE49-F238E27FC236}">
              <a16:creationId xmlns:a16="http://schemas.microsoft.com/office/drawing/2014/main" id="{7748A4BD-3B81-412D-AE54-D9FCA03F4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13098</xdr:colOff>
      <xdr:row>1</xdr:row>
      <xdr:rowOff>51325</xdr:rowOff>
    </xdr:from>
    <xdr:to>
      <xdr:col>27</xdr:col>
      <xdr:colOff>216623</xdr:colOff>
      <xdr:row>11</xdr:row>
      <xdr:rowOff>59465</xdr:rowOff>
    </xdr:to>
    <xdr:graphicFrame macro="">
      <xdr:nvGraphicFramePr>
        <xdr:cNvPr id="5" name="Chart 4">
          <a:extLst>
            <a:ext uri="{FF2B5EF4-FFF2-40B4-BE49-F238E27FC236}">
              <a16:creationId xmlns:a16="http://schemas.microsoft.com/office/drawing/2014/main" id="{27CE3E01-4E64-4317-AAD2-E3371502E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211667</xdr:colOff>
      <xdr:row>12</xdr:row>
      <xdr:rowOff>64420</xdr:rowOff>
    </xdr:from>
    <xdr:to>
      <xdr:col>11</xdr:col>
      <xdr:colOff>257682</xdr:colOff>
      <xdr:row>27</xdr:row>
      <xdr:rowOff>18175</xdr:rowOff>
    </xdr:to>
    <xdr:graphicFrame macro="">
      <xdr:nvGraphicFramePr>
        <xdr:cNvPr id="7" name="Chart 6">
          <a:extLst>
            <a:ext uri="{FF2B5EF4-FFF2-40B4-BE49-F238E27FC236}">
              <a16:creationId xmlns:a16="http://schemas.microsoft.com/office/drawing/2014/main" id="{4F75C011-0608-4B86-818A-59D9610D6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18406</xdr:colOff>
      <xdr:row>12</xdr:row>
      <xdr:rowOff>110434</xdr:rowOff>
    </xdr:from>
    <xdr:to>
      <xdr:col>18</xdr:col>
      <xdr:colOff>331306</xdr:colOff>
      <xdr:row>26</xdr:row>
      <xdr:rowOff>82825</xdr:rowOff>
    </xdr:to>
    <xdr:graphicFrame macro="">
      <xdr:nvGraphicFramePr>
        <xdr:cNvPr id="8" name="Chart 7">
          <a:extLst>
            <a:ext uri="{FF2B5EF4-FFF2-40B4-BE49-F238E27FC236}">
              <a16:creationId xmlns:a16="http://schemas.microsoft.com/office/drawing/2014/main" id="{7F20D0CA-4165-4928-A23D-BCFC34E7B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1</xdr:row>
      <xdr:rowOff>21443</xdr:rowOff>
    </xdr:from>
    <xdr:to>
      <xdr:col>2</xdr:col>
      <xdr:colOff>55218</xdr:colOff>
      <xdr:row>10</xdr:row>
      <xdr:rowOff>165653</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48B9AD8A-9798-617C-292E-E179C534DD2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 y="417168"/>
              <a:ext cx="1270000" cy="1800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28344</xdr:rowOff>
    </xdr:from>
    <xdr:to>
      <xdr:col>2</xdr:col>
      <xdr:colOff>227772</xdr:colOff>
      <xdr:row>19</xdr:row>
      <xdr:rowOff>156449</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5F5D6C66-CB71-971C-7F8B-5F92A8EE08A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2264648"/>
              <a:ext cx="1442555" cy="1600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46015</xdr:colOff>
      <xdr:row>20</xdr:row>
      <xdr:rowOff>53655</xdr:rowOff>
    </xdr:from>
    <xdr:to>
      <xdr:col>2</xdr:col>
      <xdr:colOff>230073</xdr:colOff>
      <xdr:row>29</xdr:row>
      <xdr:rowOff>82827</xdr:rowOff>
    </xdr:to>
    <mc:AlternateContent xmlns:mc="http://schemas.openxmlformats.org/markup-compatibility/2006" xmlns:a14="http://schemas.microsoft.com/office/drawing/2010/main">
      <mc:Choice Requires="a14">
        <xdr:graphicFrame macro="">
          <xdr:nvGraphicFramePr>
            <xdr:cNvPr id="12" name="Age_Group">
              <a:extLst>
                <a:ext uri="{FF2B5EF4-FFF2-40B4-BE49-F238E27FC236}">
                  <a16:creationId xmlns:a16="http://schemas.microsoft.com/office/drawing/2014/main" id="{ACCD9701-45D0-8BA9-68BE-277C7642FE8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46015" y="3946481"/>
              <a:ext cx="1398841" cy="1685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193261</xdr:colOff>
      <xdr:row>1</xdr:row>
      <xdr:rowOff>9204</xdr:rowOff>
    </xdr:from>
    <xdr:to>
      <xdr:col>20</xdr:col>
      <xdr:colOff>156450</xdr:colOff>
      <xdr:row>11</xdr:row>
      <xdr:rowOff>55219</xdr:rowOff>
    </xdr:to>
    <xdr:graphicFrame macro="">
      <xdr:nvGraphicFramePr>
        <xdr:cNvPr id="13" name="Chart 12">
          <a:extLst>
            <a:ext uri="{FF2B5EF4-FFF2-40B4-BE49-F238E27FC236}">
              <a16:creationId xmlns:a16="http://schemas.microsoft.com/office/drawing/2014/main" id="{9EE48FA9-1F2C-497B-B604-17B484B16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379618</xdr:colOff>
      <xdr:row>12</xdr:row>
      <xdr:rowOff>83562</xdr:rowOff>
    </xdr:from>
    <xdr:to>
      <xdr:col>5</xdr:col>
      <xdr:colOff>377318</xdr:colOff>
      <xdr:row>22</xdr:row>
      <xdr:rowOff>174855</xdr:rowOff>
    </xdr:to>
    <mc:AlternateContent xmlns:mc="http://schemas.openxmlformats.org/markup-compatibility/2006" xmlns:a14="http://schemas.microsoft.com/office/drawing/2010/main">
      <mc:Choice Requires="a14">
        <xdr:graphicFrame macro="">
          <xdr:nvGraphicFramePr>
            <xdr:cNvPr id="14" name="Months (Sale_Date)">
              <a:extLst>
                <a:ext uri="{FF2B5EF4-FFF2-40B4-BE49-F238E27FC236}">
                  <a16:creationId xmlns:a16="http://schemas.microsoft.com/office/drawing/2014/main" id="{F3AF280A-6420-092F-9AB6-E1DDE38D05C8}"/>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594401" y="2503924"/>
              <a:ext cx="1819874" cy="1931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607390</xdr:colOff>
      <xdr:row>12</xdr:row>
      <xdr:rowOff>64421</xdr:rowOff>
    </xdr:from>
    <xdr:to>
      <xdr:col>27</xdr:col>
      <xdr:colOff>248477</xdr:colOff>
      <xdr:row>26</xdr:row>
      <xdr:rowOff>82826</xdr:rowOff>
    </xdr:to>
    <xdr:graphicFrame macro="">
      <xdr:nvGraphicFramePr>
        <xdr:cNvPr id="6" name="Chart 5">
          <a:extLst>
            <a:ext uri="{FF2B5EF4-FFF2-40B4-BE49-F238E27FC236}">
              <a16:creationId xmlns:a16="http://schemas.microsoft.com/office/drawing/2014/main" id="{6E77849D-C1AA-4F5C-AA05-6AF0A47A2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061.980284027777" createdVersion="8" refreshedVersion="8" minRefreshableVersion="3" recordCount="300" xr:uid="{45E8E0A5-5F2A-423A-ABDE-3BBDDEE60009}">
  <cacheSource type="worksheet">
    <worksheetSource ref="A1:V301" sheet="Cleaned data"/>
  </cacheSource>
  <cacheFields count="24">
    <cacheField name="Order_ID" numFmtId="0">
      <sharedItems/>
    </cacheField>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1T00:00:00" count="192">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sharedItems>
      <fieldGroup par="23"/>
    </cacheField>
    <cacheField name="Month" numFmtId="14">
      <sharedItems/>
    </cacheField>
    <cacheField name="Customer_Name" numFmtId="0">
      <sharedItems count="152">
        <s v="Suman Mukherjee"/>
        <s v="Kavita Mukherjee"/>
        <s v="Pooja Iyer"/>
        <s v="Neha Mukherjee"/>
        <s v="Rohit Gupta"/>
        <s v="Abhishek Ghosh"/>
        <s v="Sneha Das"/>
        <s v="Amit Malhotra"/>
        <s v="Suman Das"/>
        <s v="Kavita Ghosh"/>
        <s v="Sourav Gupta"/>
        <s v="Arjun Chatterjee"/>
        <s v="Sneha Gupta"/>
        <s v="Priya Iyer"/>
        <s v="Anjali Gupta"/>
        <s v="Sneha Singh"/>
        <s v="Amit Gupta"/>
        <s v="Abhishek Banerjee"/>
        <s v="Anjali Chatterjee"/>
        <s v="Pooja Gupta"/>
        <s v="Rohit Sharma"/>
        <s v="Anjali Malhotra"/>
        <s v="Rahul Iyer"/>
        <s v="Neha Patel"/>
        <s v="Rahul Malhotra"/>
        <s v="Arjun Malhotra"/>
        <s v="Abhishek Malhotra"/>
        <s v="Abhishek Gupta"/>
        <s v="Anita Malhotra"/>
        <s v="Priya Chatterjee"/>
        <s v="Pooja Banerjee"/>
        <s v="Suman Sharma"/>
        <s v="Sneha Iyer"/>
        <s v="Sneha Ghosh"/>
        <s v="Vikram Patel"/>
        <s v="Riya Iyer"/>
        <s v="Sourav Singh"/>
        <s v="Anjali Das"/>
        <s v="Anita Patel"/>
        <s v="Pooja Mukherjee"/>
        <s v="Anita Ghosh"/>
        <s v="Arjun Banerjee"/>
        <s v="Sourav Sharma"/>
        <s v="Rohit Das"/>
        <s v="Pooja Chatterjee"/>
        <s v="Neha Iyer"/>
        <s v="Rahul Mukherjee"/>
        <s v="Priya Sharma"/>
        <s v="Sourav Chatterjee"/>
        <s v="Vikram Roy"/>
        <s v="Riya Patel"/>
        <s v="Priya Singh"/>
        <s v="Anita Singh"/>
        <s v="Arjun Sharma"/>
        <s v="Sneha Mukherjee"/>
        <s v="Anita Iyer"/>
        <s v="Kavita Das"/>
        <s v="Abhishek Patel"/>
        <s v="Priya Mukherjee"/>
        <s v="Suman Chatterjee"/>
        <s v="Kavita Gupta"/>
        <s v="Priya Gupta"/>
        <s v="Anjali Sharma"/>
        <s v="Vikram Malhotra"/>
        <s v="Arjun Das"/>
        <s v="Neha Das"/>
        <s v="Anita Gupta"/>
        <s v="Pooja Malhotra"/>
        <s v="Arjun Roy"/>
        <s v="Amit Mukherjee"/>
        <s v="Amit Patel"/>
        <s v="Suman Gupta"/>
        <s v="Anita Sharma"/>
        <s v="Vikram Gupta"/>
        <s v="Rahul Chatterjee"/>
        <s v="Rahul Gupta"/>
        <s v="Arjun Gupta"/>
        <s v="Pooja Roy"/>
        <s v="Abhishek Iyer"/>
        <s v="Abhishek Sharma"/>
        <s v="Kavita Patel"/>
        <s v="Kavita Singh"/>
        <s v="Riya Banerjee"/>
        <s v="Suman Singh"/>
        <s v="Sourav Banerjee"/>
        <s v="Rohit Chatterjee"/>
        <s v="Neha Singh"/>
        <s v="Priya Malhotra"/>
        <s v="Sourav Das"/>
        <s v="Vikram Das"/>
        <s v="Priya Banerjee"/>
        <s v="Suman Ghosh"/>
        <s v="Riya Mukherjee"/>
        <s v="Anjali Banerjee"/>
        <s v="Abhishek Chatterjee"/>
        <s v="Rohit Singh"/>
        <s v="Rahul Ghosh"/>
        <s v="Anita Chatterjee"/>
        <s v="Riya Das"/>
        <s v="Vikram Singh"/>
        <s v="Vikram Iyer"/>
        <s v="Arjun Singh"/>
        <s v="Sourav Roy"/>
        <s v="Suman Malhotra"/>
        <s v="Vikram Mukherjee"/>
        <s v="Neha Chatterjee"/>
        <s v="Neha Malhotra"/>
        <s v="Vikram Ghosh"/>
        <s v="Rohit Iyer"/>
        <s v="Anita Roy"/>
        <s v="Priya Patel"/>
        <s v="Riya Sharma"/>
        <s v="Riya Chatterjee"/>
        <s v="Rohit Ghosh"/>
        <s v="Abhishek Das"/>
        <s v="Pooja Das"/>
        <s v="Kavita Roy"/>
        <s v="Kavita Iyer"/>
        <s v="Pooja Singh"/>
        <s v="Vikram Banerjee"/>
        <s v="Rahul Patel"/>
        <s v="Amit Chatterjee"/>
        <s v="Rohit Malhotra"/>
        <s v="Rahul Das"/>
        <s v="Amit Singh"/>
        <s v="Kavita Banerjee"/>
        <s v="Sourav Patel"/>
        <s v="Anjali Roy"/>
        <s v="Priya Das"/>
        <s v="Anjali Mukherjee"/>
        <s v="Abhishek Mukherjee"/>
        <s v="Amit Ghosh"/>
        <s v="Rohit Banerjee"/>
        <s v="Riya Gupta"/>
        <s v="Riya Singh"/>
        <s v="Rahul Sharma"/>
        <s v="Amit Roy"/>
        <s v="Sourav Iyer"/>
        <s v="Anita Das"/>
        <s v="Priya Ghosh"/>
        <s v="Pooja Patel"/>
        <s v="Suman Patel"/>
        <s v="Rohit Roy"/>
        <s v="Riya Ghosh"/>
        <s v="Pooja Ghosh"/>
        <s v="Sourav Malhotra"/>
        <s v="Vikram Chatterjee"/>
        <s v="Neha Ghosh"/>
        <s v="Neha Sharma"/>
        <s v="Suman Banerjee"/>
        <s v="Rohit Mukherjee"/>
        <s v="Arjun Iyer"/>
      </sharedItems>
    </cacheField>
    <cacheField name="Age" numFmtId="0">
      <sharedItems containsSemiMixedTypes="0" containsString="0" containsNumber="1" containsInteger="1" minValue="18" maxValue="64"/>
    </cacheField>
    <cacheField name="City" numFmtId="0">
      <sharedItems/>
    </cacheField>
    <cacheField name="State" numFmtId="0">
      <sharedItems count="5">
        <s v="Karnataka"/>
        <s v="Tamil Nadu"/>
        <s v="Maharashtra"/>
        <s v="Delhi"/>
        <s v="West Bengal"/>
      </sharedItems>
    </cacheField>
    <cacheField name="Region" numFmtId="0">
      <sharedItems count="4">
        <s v="East"/>
        <s v="West"/>
        <s v="North"/>
        <s v="South"/>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8.989999999999995" maxValue="4929.55"/>
    </cacheField>
    <cacheField name="Unit_Price" numFmtId="0">
      <sharedItems containsSemiMixedTypes="0" containsString="0" containsNumber="1" minValue="211.18" maxValue="6990.33"/>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ount="2">
        <s v="Offline"/>
        <s v="Online"/>
      </sharedItems>
    </cacheField>
    <cacheField name="Order_Status" numFmtId="0">
      <sharedItems count="3">
        <s v="Delivered"/>
        <s v="Cancelled"/>
        <s v="Returned"/>
      </sharedItems>
    </cacheField>
    <cacheField name="Sales_Amount" numFmtId="0">
      <sharedItems containsSemiMixedTypes="0" containsString="0" containsNumber="1" minValue="154.16140000000001" maxValue="249168.92"/>
    </cacheField>
    <cacheField name="Cost_Price" numFmtId="0">
      <sharedItems containsSemiMixedTypes="0" containsString="0" containsNumber="1" minValue="172.59" maxValue="235808.09"/>
    </cacheField>
    <cacheField name="Profit" numFmtId="0">
      <sharedItems containsSemiMixedTypes="0" containsString="0" containsNumber="1" minValue="-39812.636600000027" maxValue="50333.973200000037"/>
    </cacheField>
    <cacheField name="Age_Group" numFmtId="0">
      <sharedItems count="3">
        <s v="Senior"/>
        <s v="Adult"/>
        <s v="Young"/>
      </sharedItems>
    </cacheField>
    <cacheField name="Days (Sale_Date)"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ale_Date)"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59237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0"/>
    <n v="1052"/>
    <x v="0"/>
    <s v="Feb"/>
    <x v="0"/>
    <n v="55"/>
    <s v="Bangalore"/>
    <x v="0"/>
    <x v="0"/>
    <n v="18"/>
    <x v="0"/>
    <n v="152.75"/>
    <n v="267.22000000000003"/>
    <s v="Returning"/>
    <n v="0.09"/>
    <s v="Cash"/>
    <x v="0"/>
    <x v="0"/>
    <n v="4377.0636000000013"/>
    <n v="2749.5"/>
    <n v="1627.5636000000013"/>
    <x v="0"/>
  </r>
  <r>
    <s v="ORD1001"/>
    <n v="1093"/>
    <x v="1"/>
    <s v="Apr"/>
    <x v="1"/>
    <n v="50"/>
    <s v="Chennai"/>
    <x v="1"/>
    <x v="1"/>
    <n v="17"/>
    <x v="0"/>
    <n v="3816.39"/>
    <n v="4209.4399999999996"/>
    <s v="Returning"/>
    <n v="0.1"/>
    <s v="Cash"/>
    <x v="1"/>
    <x v="1"/>
    <n v="64404.432000000001"/>
    <n v="64878.63"/>
    <n v="-474.19799999999668"/>
    <x v="0"/>
  </r>
  <r>
    <s v="ORD1002"/>
    <n v="1015"/>
    <x v="2"/>
    <s v="Sep"/>
    <x v="2"/>
    <n v="41"/>
    <s v="Bangalore"/>
    <x v="2"/>
    <x v="0"/>
    <n v="30"/>
    <x v="1"/>
    <n v="261.56"/>
    <n v="371.4"/>
    <s v="Returning"/>
    <n v="0.2"/>
    <s v="Bank Transfer"/>
    <x v="1"/>
    <x v="2"/>
    <n v="8913.6"/>
    <n v="7846.8"/>
    <n v="1066.8000000000002"/>
    <x v="0"/>
  </r>
  <r>
    <s v="ORD1003"/>
    <n v="1072"/>
    <x v="3"/>
    <s v="Aug"/>
    <x v="3"/>
    <n v="32"/>
    <s v="Chennai"/>
    <x v="1"/>
    <x v="2"/>
    <n v="39"/>
    <x v="2"/>
    <n v="4330.03"/>
    <n v="4467.75"/>
    <s v="New"/>
    <n v="0.02"/>
    <s v="Credit Card"/>
    <x v="1"/>
    <x v="0"/>
    <n v="170757.405"/>
    <n v="168871.16999999998"/>
    <n v="1886.2350000000151"/>
    <x v="1"/>
  </r>
  <r>
    <s v="ORD1004"/>
    <n v="1061"/>
    <x v="4"/>
    <s v="Mar"/>
    <x v="4"/>
    <n v="47"/>
    <s v="Chennai"/>
    <x v="1"/>
    <x v="3"/>
    <n v="13"/>
    <x v="3"/>
    <n v="637.37"/>
    <n v="692.71"/>
    <s v="New"/>
    <n v="0.08"/>
    <s v="Credit Card"/>
    <x v="1"/>
    <x v="2"/>
    <n v="8284.8115999999991"/>
    <n v="8285.81"/>
    <n v="-0.99840000000040163"/>
    <x v="0"/>
  </r>
  <r>
    <s v="ORD1005"/>
    <n v="1021"/>
    <x v="5"/>
    <s v="Feb"/>
    <x v="5"/>
    <n v="59"/>
    <s v="Chennai"/>
    <x v="3"/>
    <x v="2"/>
    <n v="32"/>
    <x v="1"/>
    <n v="900.79"/>
    <n v="1106.51"/>
    <s v="New"/>
    <n v="0.21"/>
    <s v="Cash"/>
    <x v="1"/>
    <x v="2"/>
    <n v="27972.572800000002"/>
    <n v="28825.279999999999"/>
    <n v="-852.7071999999971"/>
    <x v="0"/>
  </r>
  <r>
    <s v="ORD1006"/>
    <n v="1083"/>
    <x v="6"/>
    <s v="Apr"/>
    <x v="6"/>
    <n v="34"/>
    <s v="Bangalore"/>
    <x v="2"/>
    <x v="3"/>
    <n v="29"/>
    <x v="0"/>
    <n v="2408.81"/>
    <n v="2824.09"/>
    <s v="Returning"/>
    <n v="0.04"/>
    <s v="Cash"/>
    <x v="0"/>
    <x v="1"/>
    <n v="78622.665599999993"/>
    <n v="69855.490000000005"/>
    <n v="8767.1755999999878"/>
    <x v="1"/>
  </r>
  <r>
    <s v="ORD1007"/>
    <n v="1087"/>
    <x v="7"/>
    <s v="Jan"/>
    <x v="7"/>
    <n v="22"/>
    <s v="Bangalore"/>
    <x v="2"/>
    <x v="0"/>
    <n v="46"/>
    <x v="0"/>
    <n v="3702.51"/>
    <n v="3964.65"/>
    <s v="New"/>
    <n v="0.12"/>
    <s v="Bank Transfer"/>
    <x v="0"/>
    <x v="2"/>
    <n v="160489.03200000001"/>
    <n v="170315.46000000002"/>
    <n v="-9826.4280000000144"/>
    <x v="2"/>
  </r>
  <r>
    <s v="ORD1008"/>
    <n v="1075"/>
    <x v="8"/>
    <s v="Jun"/>
    <x v="8"/>
    <n v="46"/>
    <s v="Chennai"/>
    <x v="2"/>
    <x v="2"/>
    <n v="30"/>
    <x v="0"/>
    <n v="738.06"/>
    <n v="1095.45"/>
    <s v="New"/>
    <n v="0.05"/>
    <s v="Bank Transfer"/>
    <x v="0"/>
    <x v="1"/>
    <n v="31220.324999999997"/>
    <n v="22141.8"/>
    <n v="9078.5249999999978"/>
    <x v="0"/>
  </r>
  <r>
    <s v="ORD1009"/>
    <n v="1075"/>
    <x v="9"/>
    <s v="Oct"/>
    <x v="9"/>
    <n v="21"/>
    <s v="Delhi"/>
    <x v="1"/>
    <x v="0"/>
    <n v="18"/>
    <x v="2"/>
    <n v="2228.35"/>
    <n v="2682.34"/>
    <s v="New"/>
    <n v="0.13"/>
    <s v="Bank Transfer"/>
    <x v="0"/>
    <x v="0"/>
    <n v="42005.4444"/>
    <n v="40110.299999999996"/>
    <n v="1895.1444000000047"/>
    <x v="2"/>
  </r>
  <r>
    <s v="ORD1010"/>
    <n v="1088"/>
    <x v="10"/>
    <s v="Nov"/>
    <x v="10"/>
    <n v="27"/>
    <s v="Mumbai"/>
    <x v="0"/>
    <x v="3"/>
    <n v="13"/>
    <x v="0"/>
    <n v="2440.11"/>
    <n v="2517.6"/>
    <s v="New"/>
    <n v="0.12"/>
    <s v="Bank Transfer"/>
    <x v="1"/>
    <x v="2"/>
    <n v="28801.344000000001"/>
    <n v="31721.43"/>
    <n v="-2920.0859999999993"/>
    <x v="1"/>
  </r>
  <r>
    <s v="ORD1011"/>
    <n v="1100"/>
    <x v="11"/>
    <s v="Aug"/>
    <x v="11"/>
    <n v="34"/>
    <s v="Mumbai"/>
    <x v="2"/>
    <x v="1"/>
    <n v="43"/>
    <x v="1"/>
    <n v="1100.81"/>
    <n v="1137.44"/>
    <s v="Returning"/>
    <n v="0.08"/>
    <s v="Bank Transfer"/>
    <x v="1"/>
    <x v="0"/>
    <n v="44997.126400000008"/>
    <n v="47334.829999999994"/>
    <n v="-2337.7035999999862"/>
    <x v="1"/>
  </r>
  <r>
    <s v="ORD1012"/>
    <n v="1024"/>
    <x v="12"/>
    <s v="Nov"/>
    <x v="8"/>
    <n v="27"/>
    <s v="Mumbai"/>
    <x v="1"/>
    <x v="1"/>
    <n v="21"/>
    <x v="1"/>
    <n v="622.01"/>
    <n v="641.09"/>
    <s v="Returning"/>
    <n v="0"/>
    <s v="Bank Transfer"/>
    <x v="1"/>
    <x v="2"/>
    <n v="13462.890000000001"/>
    <n v="13062.21"/>
    <n v="400.68000000000211"/>
    <x v="1"/>
  </r>
  <r>
    <s v="ORD1013"/>
    <n v="1003"/>
    <x v="13"/>
    <s v="Dec"/>
    <x v="12"/>
    <n v="34"/>
    <s v="Bangalore"/>
    <x v="3"/>
    <x v="2"/>
    <n v="30"/>
    <x v="0"/>
    <n v="4190.28"/>
    <n v="4270.6499999999996"/>
    <s v="New"/>
    <n v="0.06"/>
    <s v="Cash"/>
    <x v="1"/>
    <x v="0"/>
    <n v="120432.32999999997"/>
    <n v="125708.4"/>
    <n v="-5276.0700000000215"/>
    <x v="1"/>
  </r>
  <r>
    <s v="ORD1014"/>
    <n v="1022"/>
    <x v="14"/>
    <s v="Aug"/>
    <x v="13"/>
    <n v="37"/>
    <s v="Bangalore"/>
    <x v="0"/>
    <x v="0"/>
    <n v="21"/>
    <x v="1"/>
    <n v="2537.1999999999998"/>
    <n v="2869.6"/>
    <s v="New"/>
    <n v="0.2"/>
    <s v="Bank Transfer"/>
    <x v="1"/>
    <x v="2"/>
    <n v="48209.279999999999"/>
    <n v="53281.2"/>
    <n v="-5071.9199999999983"/>
    <x v="1"/>
  </r>
  <r>
    <s v="ORD1015"/>
    <n v="1053"/>
    <x v="15"/>
    <s v="Oct"/>
    <x v="14"/>
    <n v="41"/>
    <s v="Delhi"/>
    <x v="3"/>
    <x v="0"/>
    <n v="48"/>
    <x v="0"/>
    <n v="121.19"/>
    <n v="487.65"/>
    <s v="New"/>
    <n v="0.18"/>
    <s v="Cash"/>
    <x v="0"/>
    <x v="2"/>
    <n v="19193.903999999999"/>
    <n v="5817.12"/>
    <n v="13376.784"/>
    <x v="0"/>
  </r>
  <r>
    <s v="ORD1016"/>
    <n v="1002"/>
    <x v="16"/>
    <s v="May"/>
    <x v="15"/>
    <n v="22"/>
    <s v="Mumbai"/>
    <x v="0"/>
    <x v="2"/>
    <n v="17"/>
    <x v="0"/>
    <n v="4024.76"/>
    <n v="4420.1499999999996"/>
    <s v="Returning"/>
    <n v="0.04"/>
    <s v="Cash"/>
    <x v="0"/>
    <x v="2"/>
    <n v="72136.847999999984"/>
    <n v="68420.92"/>
    <n v="3715.9279999999853"/>
    <x v="2"/>
  </r>
  <r>
    <s v="ORD1017"/>
    <n v="1088"/>
    <x v="17"/>
    <s v="Oct"/>
    <x v="16"/>
    <n v="51"/>
    <s v="Mumbai"/>
    <x v="1"/>
    <x v="1"/>
    <n v="40"/>
    <x v="3"/>
    <n v="4904.93"/>
    <n v="5034.3500000000004"/>
    <s v="New"/>
    <n v="0.05"/>
    <s v="Credit Card"/>
    <x v="1"/>
    <x v="2"/>
    <n v="191305.3"/>
    <n v="196197.2"/>
    <n v="-4891.9000000000233"/>
    <x v="0"/>
  </r>
  <r>
    <s v="ORD1018"/>
    <n v="1030"/>
    <x v="18"/>
    <s v="Jul"/>
    <x v="17"/>
    <n v="23"/>
    <s v="Chennai"/>
    <x v="4"/>
    <x v="3"/>
    <n v="19"/>
    <x v="2"/>
    <n v="3049.33"/>
    <n v="3209.22"/>
    <s v="Returning"/>
    <n v="0.06"/>
    <s v="Cash"/>
    <x v="1"/>
    <x v="2"/>
    <n v="57316.669199999989"/>
    <n v="57937.27"/>
    <n v="-620.60080000000744"/>
    <x v="2"/>
  </r>
  <r>
    <s v="ORD1019"/>
    <n v="1038"/>
    <x v="19"/>
    <s v="Mar"/>
    <x v="18"/>
    <n v="19"/>
    <s v="Bangalore"/>
    <x v="0"/>
    <x v="2"/>
    <n v="15"/>
    <x v="2"/>
    <n v="2543.36"/>
    <n v="2790.1"/>
    <s v="Returning"/>
    <n v="7.0000000000000007E-2"/>
    <s v="Cash"/>
    <x v="1"/>
    <x v="2"/>
    <n v="38921.894999999997"/>
    <n v="38150.400000000001"/>
    <n v="771.49499999999534"/>
    <x v="2"/>
  </r>
  <r>
    <s v="ORD1020"/>
    <n v="1002"/>
    <x v="20"/>
    <s v="Apr"/>
    <x v="14"/>
    <n v="30"/>
    <s v="Mumbai"/>
    <x v="3"/>
    <x v="3"/>
    <n v="9"/>
    <x v="3"/>
    <n v="4398.16"/>
    <n v="4439.12"/>
    <s v="New"/>
    <n v="0.18"/>
    <s v="Bank Transfer"/>
    <x v="0"/>
    <x v="2"/>
    <n v="32760.705600000005"/>
    <n v="39583.440000000002"/>
    <n v="-6822.7343999999975"/>
    <x v="1"/>
  </r>
  <r>
    <s v="ORD1021"/>
    <n v="1064"/>
    <x v="21"/>
    <s v="Jan"/>
    <x v="19"/>
    <n v="60"/>
    <s v="Delhi"/>
    <x v="1"/>
    <x v="1"/>
    <n v="10"/>
    <x v="3"/>
    <n v="4764.96"/>
    <n v="5074.42"/>
    <s v="New"/>
    <n v="0.12"/>
    <s v="Cash"/>
    <x v="1"/>
    <x v="2"/>
    <n v="44654.896000000001"/>
    <n v="47649.599999999999"/>
    <n v="-2994.7039999999979"/>
    <x v="0"/>
  </r>
  <r>
    <s v="ORD1022"/>
    <n v="1060"/>
    <x v="22"/>
    <s v="Dec"/>
    <x v="13"/>
    <n v="60"/>
    <s v="Delhi"/>
    <x v="0"/>
    <x v="0"/>
    <n v="44"/>
    <x v="2"/>
    <n v="3784.96"/>
    <n v="4276.99"/>
    <s v="New"/>
    <n v="0.06"/>
    <s v="Bank Transfer"/>
    <x v="1"/>
    <x v="2"/>
    <n v="176896.3064"/>
    <n v="166538.23999999999"/>
    <n v="10358.066400000011"/>
    <x v="0"/>
  </r>
  <r>
    <s v="ORD1023"/>
    <n v="1021"/>
    <x v="23"/>
    <s v="Nov"/>
    <x v="20"/>
    <n v="28"/>
    <s v="Mumbai"/>
    <x v="4"/>
    <x v="1"/>
    <n v="31"/>
    <x v="0"/>
    <n v="2254.9899999999998"/>
    <n v="2741.79"/>
    <s v="Returning"/>
    <n v="0.24"/>
    <s v="Bank Transfer"/>
    <x v="1"/>
    <x v="0"/>
    <n v="64596.572400000005"/>
    <n v="69904.689999999988"/>
    <n v="-5308.1175999999832"/>
    <x v="1"/>
  </r>
  <r>
    <s v="ORD1024"/>
    <n v="1033"/>
    <x v="24"/>
    <s v="Nov"/>
    <x v="21"/>
    <n v="64"/>
    <s v="Bangalore"/>
    <x v="4"/>
    <x v="2"/>
    <n v="23"/>
    <x v="0"/>
    <n v="2981.5"/>
    <n v="4860.3999999999996"/>
    <s v="Returning"/>
    <n v="0.22"/>
    <s v="Bank Transfer"/>
    <x v="0"/>
    <x v="1"/>
    <n v="87195.576000000001"/>
    <n v="68574.5"/>
    <n v="18621.076000000001"/>
    <x v="0"/>
  </r>
  <r>
    <s v="ORD1025"/>
    <n v="1076"/>
    <x v="22"/>
    <s v="Dec"/>
    <x v="22"/>
    <n v="40"/>
    <s v="Delhi"/>
    <x v="2"/>
    <x v="0"/>
    <n v="30"/>
    <x v="2"/>
    <n v="3519.63"/>
    <n v="4774.6499999999996"/>
    <s v="New"/>
    <n v="0.2"/>
    <s v="Credit Card"/>
    <x v="1"/>
    <x v="2"/>
    <n v="114591.6"/>
    <n v="105588.90000000001"/>
    <n v="9002.6999999999971"/>
    <x v="1"/>
  </r>
  <r>
    <s v="ORD1026"/>
    <n v="1058"/>
    <x v="25"/>
    <s v="Apr"/>
    <x v="23"/>
    <n v="33"/>
    <s v="Chennai"/>
    <x v="2"/>
    <x v="2"/>
    <n v="33"/>
    <x v="0"/>
    <n v="1011.65"/>
    <n v="1084.28"/>
    <s v="Returning"/>
    <n v="7.0000000000000007E-2"/>
    <s v="Bank Transfer"/>
    <x v="0"/>
    <x v="1"/>
    <n v="33276.553199999995"/>
    <n v="33384.449999999997"/>
    <n v="-107.89680000000226"/>
    <x v="1"/>
  </r>
  <r>
    <s v="ORD1027"/>
    <n v="1022"/>
    <x v="26"/>
    <s v="Jun"/>
    <x v="24"/>
    <n v="48"/>
    <s v="Delhi"/>
    <x v="3"/>
    <x v="2"/>
    <n v="9"/>
    <x v="3"/>
    <n v="2263.65"/>
    <n v="2558.9499999999998"/>
    <s v="New"/>
    <n v="0.03"/>
    <s v="Cash"/>
    <x v="0"/>
    <x v="2"/>
    <n v="22339.6335"/>
    <n v="20372.850000000002"/>
    <n v="1966.7834999999977"/>
    <x v="0"/>
  </r>
  <r>
    <s v="ORD1028"/>
    <n v="1089"/>
    <x v="27"/>
    <s v="Nov"/>
    <x v="25"/>
    <n v="28"/>
    <s v="Kolkata"/>
    <x v="0"/>
    <x v="1"/>
    <n v="47"/>
    <x v="0"/>
    <n v="4157.62"/>
    <n v="5214.5600000000004"/>
    <s v="New"/>
    <n v="0.17"/>
    <s v="Bank Transfer"/>
    <x v="0"/>
    <x v="2"/>
    <n v="203419.98559999999"/>
    <n v="195408.13999999998"/>
    <n v="8011.8456000000006"/>
    <x v="1"/>
  </r>
  <r>
    <s v="ORD1029"/>
    <n v="1049"/>
    <x v="28"/>
    <s v="May"/>
    <x v="26"/>
    <n v="33"/>
    <s v="Kolkata"/>
    <x v="0"/>
    <x v="2"/>
    <n v="1"/>
    <x v="0"/>
    <n v="3290.89"/>
    <n v="3317.75"/>
    <s v="Returning"/>
    <n v="0.17"/>
    <s v="Bank Transfer"/>
    <x v="0"/>
    <x v="0"/>
    <n v="2753.7325000000001"/>
    <n v="3290.89"/>
    <n v="-537.1574999999998"/>
    <x v="1"/>
  </r>
  <r>
    <s v="ORD1030"/>
    <n v="1091"/>
    <x v="29"/>
    <s v="Sep"/>
    <x v="27"/>
    <n v="25"/>
    <s v="Bangalore"/>
    <x v="2"/>
    <x v="1"/>
    <n v="44"/>
    <x v="1"/>
    <n v="2085.46"/>
    <n v="2406.58"/>
    <s v="Returning"/>
    <n v="0.06"/>
    <s v="Bank Transfer"/>
    <x v="0"/>
    <x v="0"/>
    <n v="99536.148799999981"/>
    <n v="91760.24"/>
    <n v="7775.9087999999756"/>
    <x v="1"/>
  </r>
  <r>
    <s v="ORD1031"/>
    <n v="1059"/>
    <x v="30"/>
    <s v="Aug"/>
    <x v="28"/>
    <n v="21"/>
    <s v="Mumbai"/>
    <x v="0"/>
    <x v="0"/>
    <n v="35"/>
    <x v="1"/>
    <n v="3333.64"/>
    <n v="3764.52"/>
    <s v="Returning"/>
    <n v="0.02"/>
    <s v="Credit Card"/>
    <x v="0"/>
    <x v="1"/>
    <n v="129123.03600000001"/>
    <n v="116677.4"/>
    <n v="12445.636000000013"/>
    <x v="2"/>
  </r>
  <r>
    <s v="ORD1032"/>
    <n v="1042"/>
    <x v="31"/>
    <s v="Jan"/>
    <x v="29"/>
    <n v="57"/>
    <s v="Bangalore"/>
    <x v="0"/>
    <x v="1"/>
    <n v="11"/>
    <x v="1"/>
    <n v="635.20000000000005"/>
    <n v="814.14"/>
    <s v="Returning"/>
    <n v="0.02"/>
    <s v="Cash"/>
    <x v="1"/>
    <x v="0"/>
    <n v="8776.4291999999987"/>
    <n v="6987.2000000000007"/>
    <n v="1789.2291999999979"/>
    <x v="0"/>
  </r>
  <r>
    <s v="ORD1033"/>
    <n v="1092"/>
    <x v="32"/>
    <s v="Feb"/>
    <x v="30"/>
    <n v="21"/>
    <s v="Bangalore"/>
    <x v="4"/>
    <x v="0"/>
    <n v="34"/>
    <x v="0"/>
    <n v="2037.41"/>
    <n v="2238.65"/>
    <s v="New"/>
    <n v="0.3"/>
    <s v="Credit Card"/>
    <x v="1"/>
    <x v="0"/>
    <n v="53279.87"/>
    <n v="69271.94"/>
    <n v="-15992.07"/>
    <x v="2"/>
  </r>
  <r>
    <s v="ORD1034"/>
    <n v="1060"/>
    <x v="14"/>
    <s v="Aug"/>
    <x v="31"/>
    <n v="42"/>
    <s v="Bangalore"/>
    <x v="2"/>
    <x v="1"/>
    <n v="16"/>
    <x v="2"/>
    <n v="3975.99"/>
    <n v="4422.59"/>
    <s v="New"/>
    <n v="0.24"/>
    <s v="Cash"/>
    <x v="1"/>
    <x v="1"/>
    <n v="53778.6944"/>
    <n v="63615.839999999997"/>
    <n v="-9837.1455999999962"/>
    <x v="0"/>
  </r>
  <r>
    <s v="ORD1035"/>
    <n v="1080"/>
    <x v="33"/>
    <s v="Feb"/>
    <x v="3"/>
    <n v="20"/>
    <s v="Bangalore"/>
    <x v="1"/>
    <x v="3"/>
    <n v="9"/>
    <x v="3"/>
    <n v="1141.52"/>
    <n v="1550.19"/>
    <s v="New"/>
    <n v="0.28000000000000003"/>
    <s v="Credit Card"/>
    <x v="0"/>
    <x v="0"/>
    <n v="10045.2312"/>
    <n v="10273.68"/>
    <n v="-228.44880000000012"/>
    <x v="2"/>
  </r>
  <r>
    <s v="ORD1036"/>
    <n v="1015"/>
    <x v="34"/>
    <s v="Aug"/>
    <x v="32"/>
    <n v="49"/>
    <s v="Chennai"/>
    <x v="2"/>
    <x v="3"/>
    <n v="32"/>
    <x v="0"/>
    <n v="970.51"/>
    <n v="1330.84"/>
    <s v="Returning"/>
    <n v="0.06"/>
    <s v="Cash"/>
    <x v="1"/>
    <x v="2"/>
    <n v="40031.667199999996"/>
    <n v="31056.32"/>
    <n v="8975.3471999999965"/>
    <x v="0"/>
  </r>
  <r>
    <s v="ORD1037"/>
    <n v="1062"/>
    <x v="7"/>
    <s v="Jan"/>
    <x v="33"/>
    <n v="20"/>
    <s v="Chennai"/>
    <x v="1"/>
    <x v="2"/>
    <n v="15"/>
    <x v="2"/>
    <n v="4756.55"/>
    <n v="4888.46"/>
    <s v="New"/>
    <n v="0.28999999999999998"/>
    <s v="Credit Card"/>
    <x v="0"/>
    <x v="1"/>
    <n v="52062.098999999995"/>
    <n v="71348.25"/>
    <n v="-19286.151000000005"/>
    <x v="2"/>
  </r>
  <r>
    <s v="ORD1038"/>
    <n v="1062"/>
    <x v="35"/>
    <s v="Nov"/>
    <x v="34"/>
    <n v="44"/>
    <s v="Delhi"/>
    <x v="4"/>
    <x v="1"/>
    <n v="12"/>
    <x v="0"/>
    <n v="1088.99"/>
    <n v="1545"/>
    <s v="Returning"/>
    <n v="0.04"/>
    <s v="Bank Transfer"/>
    <x v="0"/>
    <x v="1"/>
    <n v="17798.399999999998"/>
    <n v="13067.880000000001"/>
    <n v="4730.5199999999968"/>
    <x v="0"/>
  </r>
  <r>
    <s v="ORD1039"/>
    <n v="1047"/>
    <x v="36"/>
    <s v="Aug"/>
    <x v="35"/>
    <n v="46"/>
    <s v="Kolkata"/>
    <x v="3"/>
    <x v="1"/>
    <n v="33"/>
    <x v="3"/>
    <n v="1341.55"/>
    <n v="1427.21"/>
    <s v="Returning"/>
    <n v="0.15"/>
    <s v="Credit Card"/>
    <x v="0"/>
    <x v="2"/>
    <n v="40033.2405"/>
    <n v="44271.15"/>
    <n v="-4237.9095000000016"/>
    <x v="0"/>
  </r>
  <r>
    <s v="ORD1040"/>
    <n v="1062"/>
    <x v="37"/>
    <s v="Mar"/>
    <x v="36"/>
    <n v="49"/>
    <s v="Bangalore"/>
    <x v="0"/>
    <x v="0"/>
    <n v="45"/>
    <x v="0"/>
    <n v="4849.6000000000004"/>
    <n v="5166.72"/>
    <s v="Returning"/>
    <n v="0.15"/>
    <s v="Credit Card"/>
    <x v="1"/>
    <x v="0"/>
    <n v="197627.04"/>
    <n v="218232.00000000003"/>
    <n v="-20604.960000000021"/>
    <x v="0"/>
  </r>
  <r>
    <s v="ORD1041"/>
    <n v="1051"/>
    <x v="21"/>
    <s v="Jan"/>
    <x v="37"/>
    <n v="36"/>
    <s v="Delhi"/>
    <x v="4"/>
    <x v="2"/>
    <n v="14"/>
    <x v="3"/>
    <n v="3686.81"/>
    <n v="3710.92"/>
    <s v="New"/>
    <n v="0"/>
    <s v="Bank Transfer"/>
    <x v="0"/>
    <x v="1"/>
    <n v="51952.880000000005"/>
    <n v="51615.34"/>
    <n v="337.54000000000815"/>
    <x v="1"/>
  </r>
  <r>
    <s v="ORD1042"/>
    <n v="1055"/>
    <x v="38"/>
    <s v="Dec"/>
    <x v="38"/>
    <n v="38"/>
    <s v="Kolkata"/>
    <x v="0"/>
    <x v="1"/>
    <n v="8"/>
    <x v="0"/>
    <n v="3513"/>
    <n v="3838.42"/>
    <s v="Returning"/>
    <n v="0.13"/>
    <s v="Bank Transfer"/>
    <x v="0"/>
    <x v="1"/>
    <n v="26715.403200000001"/>
    <n v="28104"/>
    <n v="-1388.5967999999993"/>
    <x v="1"/>
  </r>
  <r>
    <s v="ORD1043"/>
    <n v="1064"/>
    <x v="39"/>
    <s v="May"/>
    <x v="39"/>
    <n v="22"/>
    <s v="Mumbai"/>
    <x v="3"/>
    <x v="2"/>
    <n v="8"/>
    <x v="3"/>
    <n v="4271.99"/>
    <n v="4417.79"/>
    <s v="Returning"/>
    <n v="0.04"/>
    <s v="Cash"/>
    <x v="1"/>
    <x v="2"/>
    <n v="33928.627199999995"/>
    <n v="34175.919999999998"/>
    <n v="-247.2928000000029"/>
    <x v="2"/>
  </r>
  <r>
    <s v="ORD1044"/>
    <n v="1003"/>
    <x v="40"/>
    <s v="Apr"/>
    <x v="40"/>
    <n v="35"/>
    <s v="Chennai"/>
    <x v="3"/>
    <x v="3"/>
    <n v="27"/>
    <x v="0"/>
    <n v="623.32000000000005"/>
    <n v="853.66"/>
    <s v="Returning"/>
    <n v="0.04"/>
    <s v="Cash"/>
    <x v="1"/>
    <x v="2"/>
    <n v="22126.867200000001"/>
    <n v="16829.640000000003"/>
    <n v="5297.2271999999975"/>
    <x v="1"/>
  </r>
  <r>
    <s v="ORD1045"/>
    <n v="1051"/>
    <x v="41"/>
    <s v="Apr"/>
    <x v="38"/>
    <n v="45"/>
    <s v="Kolkata"/>
    <x v="4"/>
    <x v="1"/>
    <n v="12"/>
    <x v="3"/>
    <n v="3544.48"/>
    <n v="3723.66"/>
    <s v="Returning"/>
    <n v="0.06"/>
    <s v="Cash"/>
    <x v="0"/>
    <x v="0"/>
    <n v="42002.884799999993"/>
    <n v="42533.760000000002"/>
    <n v="-530.8752000000095"/>
    <x v="0"/>
  </r>
  <r>
    <s v="ORD1046"/>
    <n v="1007"/>
    <x v="42"/>
    <s v="Mar"/>
    <x v="36"/>
    <n v="59"/>
    <s v="Mumbai"/>
    <x v="3"/>
    <x v="1"/>
    <n v="1"/>
    <x v="1"/>
    <n v="2543.2600000000002"/>
    <n v="2637.91"/>
    <s v="Returning"/>
    <n v="0.2"/>
    <s v="Credit Card"/>
    <x v="0"/>
    <x v="1"/>
    <n v="2110.328"/>
    <n v="2543.2600000000002"/>
    <n v="-432.93200000000024"/>
    <x v="0"/>
  </r>
  <r>
    <s v="ORD1047"/>
    <n v="1021"/>
    <x v="43"/>
    <s v="Jul"/>
    <x v="41"/>
    <n v="39"/>
    <s v="Kolkata"/>
    <x v="1"/>
    <x v="2"/>
    <n v="43"/>
    <x v="0"/>
    <n v="4154.3"/>
    <n v="4469.07"/>
    <s v="Returning"/>
    <n v="0.05"/>
    <s v="Cash"/>
    <x v="1"/>
    <x v="0"/>
    <n v="182561.50949999999"/>
    <n v="178634.9"/>
    <n v="3926.6094999999914"/>
    <x v="1"/>
  </r>
  <r>
    <s v="ORD1048"/>
    <n v="1073"/>
    <x v="38"/>
    <s v="Dec"/>
    <x v="42"/>
    <n v="38"/>
    <s v="Chennai"/>
    <x v="3"/>
    <x v="1"/>
    <n v="40"/>
    <x v="0"/>
    <n v="2565.3000000000002"/>
    <n v="3007.47"/>
    <s v="Returning"/>
    <n v="0.17"/>
    <s v="Credit Card"/>
    <x v="1"/>
    <x v="0"/>
    <n v="99848.003999999986"/>
    <n v="102612"/>
    <n v="-2763.9960000000137"/>
    <x v="1"/>
  </r>
  <r>
    <s v="ORD1049"/>
    <n v="1039"/>
    <x v="44"/>
    <s v="Jul"/>
    <x v="43"/>
    <n v="23"/>
    <s v="Chennai"/>
    <x v="0"/>
    <x v="2"/>
    <n v="42"/>
    <x v="2"/>
    <n v="3120.19"/>
    <n v="3600.14"/>
    <s v="Returning"/>
    <n v="0.19"/>
    <s v="Credit Card"/>
    <x v="1"/>
    <x v="2"/>
    <n v="122476.76280000001"/>
    <n v="131047.98"/>
    <n v="-8571.2171999999846"/>
    <x v="2"/>
  </r>
  <r>
    <s v="ORD1050"/>
    <n v="1018"/>
    <x v="45"/>
    <s v="Jan"/>
    <x v="44"/>
    <n v="18"/>
    <s v="Delhi"/>
    <x v="0"/>
    <x v="1"/>
    <n v="11"/>
    <x v="2"/>
    <n v="2414.8200000000002"/>
    <n v="2519.0700000000002"/>
    <s v="Returning"/>
    <n v="0"/>
    <s v="Cash"/>
    <x v="0"/>
    <x v="1"/>
    <n v="27709.77"/>
    <n v="26563.02"/>
    <n v="1146.75"/>
    <x v="2"/>
  </r>
  <r>
    <s v="ORD1051"/>
    <n v="1004"/>
    <x v="46"/>
    <s v="Jun"/>
    <x v="45"/>
    <n v="22"/>
    <s v="Bangalore"/>
    <x v="0"/>
    <x v="0"/>
    <n v="39"/>
    <x v="3"/>
    <n v="2416.89"/>
    <n v="2778.4"/>
    <s v="Returning"/>
    <n v="0.05"/>
    <s v="Cash"/>
    <x v="1"/>
    <x v="1"/>
    <n v="102939.72"/>
    <n v="94258.709999999992"/>
    <n v="8681.0100000000093"/>
    <x v="2"/>
  </r>
  <r>
    <s v="ORD1052"/>
    <n v="1089"/>
    <x v="47"/>
    <s v="Oct"/>
    <x v="46"/>
    <n v="58"/>
    <s v="Kolkata"/>
    <x v="0"/>
    <x v="2"/>
    <n v="43"/>
    <x v="0"/>
    <n v="3851.45"/>
    <n v="4186.9799999999996"/>
    <s v="Returning"/>
    <n v="0.1"/>
    <s v="Credit Card"/>
    <x v="1"/>
    <x v="1"/>
    <n v="162036.12599999999"/>
    <n v="165612.35"/>
    <n v="-3576.2240000000165"/>
    <x v="0"/>
  </r>
  <r>
    <s v="ORD1053"/>
    <n v="1060"/>
    <x v="48"/>
    <s v="May"/>
    <x v="35"/>
    <n v="29"/>
    <s v="Kolkata"/>
    <x v="1"/>
    <x v="1"/>
    <n v="31"/>
    <x v="3"/>
    <n v="3161.4"/>
    <n v="3339.66"/>
    <s v="Returning"/>
    <n v="0.02"/>
    <s v="Bank Transfer"/>
    <x v="1"/>
    <x v="2"/>
    <n v="101458.87079999999"/>
    <n v="98003.400000000009"/>
    <n v="3455.470799999981"/>
    <x v="1"/>
  </r>
  <r>
    <s v="ORD1054"/>
    <n v="1014"/>
    <x v="49"/>
    <s v="Nov"/>
    <x v="47"/>
    <n v="43"/>
    <s v="Mumbai"/>
    <x v="2"/>
    <x v="3"/>
    <n v="17"/>
    <x v="1"/>
    <n v="3184.65"/>
    <n v="3204.01"/>
    <s v="New"/>
    <n v="0.06"/>
    <s v="Bank Transfer"/>
    <x v="0"/>
    <x v="2"/>
    <n v="51200.0798"/>
    <n v="54139.05"/>
    <n v="-2938.9702000000034"/>
    <x v="0"/>
  </r>
  <r>
    <s v="ORD1055"/>
    <n v="1009"/>
    <x v="40"/>
    <s v="Apr"/>
    <x v="48"/>
    <n v="63"/>
    <s v="Chennai"/>
    <x v="4"/>
    <x v="1"/>
    <n v="33"/>
    <x v="2"/>
    <n v="2278.9"/>
    <n v="2626.9"/>
    <s v="New"/>
    <n v="0.05"/>
    <s v="Credit Card"/>
    <x v="1"/>
    <x v="2"/>
    <n v="82353.314999999988"/>
    <n v="75203.7"/>
    <n v="7149.6149999999907"/>
    <x v="0"/>
  </r>
  <r>
    <s v="ORD1056"/>
    <n v="1090"/>
    <x v="50"/>
    <s v="Nov"/>
    <x v="49"/>
    <n v="51"/>
    <s v="Kolkata"/>
    <x v="0"/>
    <x v="3"/>
    <n v="32"/>
    <x v="3"/>
    <n v="2678.99"/>
    <n v="3152.28"/>
    <s v="Returning"/>
    <n v="0.22"/>
    <s v="Cash"/>
    <x v="1"/>
    <x v="2"/>
    <n v="78680.908800000005"/>
    <n v="85727.679999999993"/>
    <n v="-7046.7711999999883"/>
    <x v="0"/>
  </r>
  <r>
    <s v="ORD1057"/>
    <n v="1053"/>
    <x v="51"/>
    <s v="Oct"/>
    <x v="50"/>
    <n v="31"/>
    <s v="Chennai"/>
    <x v="3"/>
    <x v="3"/>
    <n v="29"/>
    <x v="3"/>
    <n v="3741.3"/>
    <n v="4061.04"/>
    <s v="Returning"/>
    <n v="0.05"/>
    <s v="Credit Card"/>
    <x v="1"/>
    <x v="2"/>
    <n v="111881.652"/>
    <n v="108497.70000000001"/>
    <n v="3383.9519999999902"/>
    <x v="1"/>
  </r>
  <r>
    <s v="ORD1058"/>
    <n v="1002"/>
    <x v="52"/>
    <s v="Jul"/>
    <x v="51"/>
    <n v="43"/>
    <s v="Kolkata"/>
    <x v="0"/>
    <x v="0"/>
    <n v="21"/>
    <x v="2"/>
    <n v="4138.41"/>
    <n v="4361.7"/>
    <s v="Returning"/>
    <n v="7.0000000000000007E-2"/>
    <s v="Credit Card"/>
    <x v="1"/>
    <x v="1"/>
    <n v="85184.000999999989"/>
    <n v="86906.61"/>
    <n v="-1722.6090000000113"/>
    <x v="0"/>
  </r>
  <r>
    <s v="ORD1059"/>
    <n v="1084"/>
    <x v="53"/>
    <s v="Aug"/>
    <x v="52"/>
    <n v="62"/>
    <s v="Delhi"/>
    <x v="3"/>
    <x v="2"/>
    <n v="21"/>
    <x v="0"/>
    <n v="3497.98"/>
    <n v="3765.31"/>
    <s v="New"/>
    <n v="0.08"/>
    <s v="Cash"/>
    <x v="1"/>
    <x v="0"/>
    <n v="72745.789199999999"/>
    <n v="73457.58"/>
    <n v="-711.79080000000249"/>
    <x v="0"/>
  </r>
  <r>
    <s v="ORD1060"/>
    <n v="1092"/>
    <x v="54"/>
    <s v="Jan"/>
    <x v="53"/>
    <n v="44"/>
    <s v="Bangalore"/>
    <x v="3"/>
    <x v="1"/>
    <n v="40"/>
    <x v="3"/>
    <n v="4624.16"/>
    <n v="4731.9799999999996"/>
    <s v="New"/>
    <n v="0.2"/>
    <s v="Bank Transfer"/>
    <x v="0"/>
    <x v="1"/>
    <n v="151423.35999999999"/>
    <n v="184966.39999999999"/>
    <n v="-33543.040000000008"/>
    <x v="0"/>
  </r>
  <r>
    <s v="ORD1061"/>
    <n v="1060"/>
    <x v="55"/>
    <s v="Apr"/>
    <x v="54"/>
    <n v="26"/>
    <s v="Kolkata"/>
    <x v="0"/>
    <x v="0"/>
    <n v="23"/>
    <x v="2"/>
    <n v="4110.6000000000004"/>
    <n v="4488.37"/>
    <s v="New"/>
    <n v="0.12"/>
    <s v="Credit Card"/>
    <x v="0"/>
    <x v="0"/>
    <n v="90844.608800000002"/>
    <n v="94543.8"/>
    <n v="-3699.1912000000011"/>
    <x v="1"/>
  </r>
  <r>
    <s v="ORD1062"/>
    <n v="1071"/>
    <x v="56"/>
    <s v="May"/>
    <x v="55"/>
    <n v="43"/>
    <s v="Chennai"/>
    <x v="1"/>
    <x v="1"/>
    <n v="6"/>
    <x v="0"/>
    <n v="2831.23"/>
    <n v="3206.98"/>
    <s v="Returning"/>
    <n v="0.06"/>
    <s v="Bank Transfer"/>
    <x v="0"/>
    <x v="2"/>
    <n v="18087.367200000001"/>
    <n v="16987.38"/>
    <n v="1099.9871999999996"/>
    <x v="0"/>
  </r>
  <r>
    <s v="ORD1063"/>
    <n v="1044"/>
    <x v="57"/>
    <s v="Feb"/>
    <x v="56"/>
    <n v="64"/>
    <s v="Delhi"/>
    <x v="3"/>
    <x v="3"/>
    <n v="22"/>
    <x v="1"/>
    <n v="3373.46"/>
    <n v="4454.76"/>
    <s v="Returning"/>
    <n v="0.22"/>
    <s v="Bank Transfer"/>
    <x v="1"/>
    <x v="0"/>
    <n v="76443.681599999996"/>
    <n v="74216.12"/>
    <n v="2227.5616000000009"/>
    <x v="0"/>
  </r>
  <r>
    <s v="ORD1064"/>
    <n v="1008"/>
    <x v="58"/>
    <s v="Jan"/>
    <x v="57"/>
    <n v="39"/>
    <s v="Kolkata"/>
    <x v="3"/>
    <x v="2"/>
    <n v="38"/>
    <x v="2"/>
    <n v="4635.2299999999996"/>
    <n v="5075.4399999999996"/>
    <s v="Returning"/>
    <n v="0.05"/>
    <s v="Cash"/>
    <x v="0"/>
    <x v="1"/>
    <n v="183223.38399999996"/>
    <n v="176138.74"/>
    <n v="7084.6439999999711"/>
    <x v="1"/>
  </r>
  <r>
    <s v="ORD1065"/>
    <n v="1047"/>
    <x v="59"/>
    <s v="Mar"/>
    <x v="58"/>
    <n v="64"/>
    <s v="Mumbai"/>
    <x v="0"/>
    <x v="1"/>
    <n v="37"/>
    <x v="3"/>
    <n v="3114.88"/>
    <n v="5256.78"/>
    <s v="Returning"/>
    <n v="0.26"/>
    <s v="Credit Card"/>
    <x v="0"/>
    <x v="1"/>
    <n v="143930.63639999999"/>
    <n v="115250.56"/>
    <n v="28680.076399999991"/>
    <x v="0"/>
  </r>
  <r>
    <s v="ORD1066"/>
    <n v="1035"/>
    <x v="60"/>
    <s v="May"/>
    <x v="59"/>
    <n v="47"/>
    <s v="Bangalore"/>
    <x v="3"/>
    <x v="1"/>
    <n v="45"/>
    <x v="1"/>
    <n v="4132.79"/>
    <n v="4624.1000000000004"/>
    <s v="New"/>
    <n v="0.15"/>
    <s v="Credit Card"/>
    <x v="0"/>
    <x v="0"/>
    <n v="176871.82500000001"/>
    <n v="185975.55"/>
    <n v="-9103.7249999999767"/>
    <x v="0"/>
  </r>
  <r>
    <s v="ORD1067"/>
    <n v="1078"/>
    <x v="10"/>
    <s v="Nov"/>
    <x v="60"/>
    <n v="60"/>
    <s v="Kolkata"/>
    <x v="3"/>
    <x v="3"/>
    <n v="8"/>
    <x v="0"/>
    <n v="3459.61"/>
    <n v="3657.23"/>
    <s v="Returning"/>
    <n v="0.03"/>
    <s v="Bank Transfer"/>
    <x v="1"/>
    <x v="2"/>
    <n v="28380.104800000001"/>
    <n v="27676.880000000001"/>
    <n v="703.22479999999996"/>
    <x v="0"/>
  </r>
  <r>
    <s v="ORD1068"/>
    <n v="1081"/>
    <x v="61"/>
    <s v="Feb"/>
    <x v="61"/>
    <n v="34"/>
    <s v="Delhi"/>
    <x v="0"/>
    <x v="1"/>
    <n v="41"/>
    <x v="0"/>
    <n v="2782.08"/>
    <n v="3879.24"/>
    <s v="New"/>
    <n v="0.21"/>
    <s v="Bank Transfer"/>
    <x v="1"/>
    <x v="2"/>
    <n v="125648.5836"/>
    <n v="114065.28"/>
    <n v="11583.303599999999"/>
    <x v="1"/>
  </r>
  <r>
    <s v="ORD1069"/>
    <n v="1036"/>
    <x v="62"/>
    <s v="Oct"/>
    <x v="62"/>
    <n v="43"/>
    <s v="Mumbai"/>
    <x v="0"/>
    <x v="1"/>
    <n v="49"/>
    <x v="2"/>
    <n v="1247.0999999999999"/>
    <n v="1429.44"/>
    <s v="New"/>
    <n v="0.16"/>
    <s v="Cash"/>
    <x v="0"/>
    <x v="1"/>
    <n v="58835.750399999997"/>
    <n v="61107.899999999994"/>
    <n v="-2272.149599999997"/>
    <x v="0"/>
  </r>
  <r>
    <s v="ORD1070"/>
    <n v="1050"/>
    <x v="63"/>
    <s v="May"/>
    <x v="63"/>
    <n v="53"/>
    <s v="Delhi"/>
    <x v="4"/>
    <x v="3"/>
    <n v="35"/>
    <x v="2"/>
    <n v="2158.69"/>
    <n v="2384.38"/>
    <s v="Returning"/>
    <n v="0.09"/>
    <s v="Bank Transfer"/>
    <x v="0"/>
    <x v="0"/>
    <n v="75942.503000000012"/>
    <n v="75554.150000000009"/>
    <n v="388.35300000000279"/>
    <x v="0"/>
  </r>
  <r>
    <s v="ORD1071"/>
    <n v="1004"/>
    <x v="64"/>
    <s v="Dec"/>
    <x v="64"/>
    <n v="18"/>
    <s v="Delhi"/>
    <x v="1"/>
    <x v="0"/>
    <n v="11"/>
    <x v="2"/>
    <n v="4840.33"/>
    <n v="5084.29"/>
    <s v="New"/>
    <n v="0.13"/>
    <s v="Cash"/>
    <x v="1"/>
    <x v="2"/>
    <n v="48656.655299999999"/>
    <n v="53243.63"/>
    <n v="-4586.9746999999988"/>
    <x v="2"/>
  </r>
  <r>
    <s v="ORD1072"/>
    <n v="1002"/>
    <x v="65"/>
    <s v="Nov"/>
    <x v="65"/>
    <n v="25"/>
    <s v="Mumbai"/>
    <x v="1"/>
    <x v="3"/>
    <n v="24"/>
    <x v="0"/>
    <n v="3305.94"/>
    <n v="3599.27"/>
    <s v="New"/>
    <n v="0.09"/>
    <s v="Credit Card"/>
    <x v="1"/>
    <x v="2"/>
    <n v="78608.056800000006"/>
    <n v="79342.559999999998"/>
    <n v="-734.50319999999192"/>
    <x v="1"/>
  </r>
  <r>
    <s v="ORD1073"/>
    <n v="1006"/>
    <x v="66"/>
    <s v="Sep"/>
    <x v="66"/>
    <n v="52"/>
    <s v="Delhi"/>
    <x v="3"/>
    <x v="0"/>
    <n v="49"/>
    <x v="1"/>
    <n v="2843.76"/>
    <n v="3146.6"/>
    <s v="New"/>
    <n v="0.08"/>
    <s v="Cash"/>
    <x v="0"/>
    <x v="1"/>
    <n v="141848.728"/>
    <n v="139344.24000000002"/>
    <n v="2504.487999999983"/>
    <x v="0"/>
  </r>
  <r>
    <s v="ORD1074"/>
    <n v="1054"/>
    <x v="67"/>
    <s v="Jun"/>
    <x v="67"/>
    <n v="32"/>
    <s v="Mumbai"/>
    <x v="1"/>
    <x v="2"/>
    <n v="21"/>
    <x v="0"/>
    <n v="4668.1400000000003"/>
    <n v="5040.22"/>
    <s v="New"/>
    <n v="0.05"/>
    <s v="Bank Transfer"/>
    <x v="1"/>
    <x v="2"/>
    <n v="100552.38900000001"/>
    <n v="98030.94"/>
    <n v="2521.4490000000078"/>
    <x v="1"/>
  </r>
  <r>
    <s v="ORD1075"/>
    <n v="1004"/>
    <x v="68"/>
    <s v="Jun"/>
    <x v="46"/>
    <n v="64"/>
    <s v="Kolkata"/>
    <x v="3"/>
    <x v="0"/>
    <n v="2"/>
    <x v="3"/>
    <n v="2953.23"/>
    <n v="2977.52"/>
    <s v="Returning"/>
    <n v="0.11"/>
    <s v="Credit Card"/>
    <x v="0"/>
    <x v="0"/>
    <n v="5299.9856"/>
    <n v="5906.46"/>
    <n v="-606.47440000000006"/>
    <x v="0"/>
  </r>
  <r>
    <s v="ORD1076"/>
    <n v="1054"/>
    <x v="69"/>
    <s v="Jan"/>
    <x v="12"/>
    <n v="39"/>
    <s v="Mumbai"/>
    <x v="4"/>
    <x v="0"/>
    <n v="40"/>
    <x v="0"/>
    <n v="2654.11"/>
    <n v="2929.32"/>
    <s v="Returning"/>
    <n v="0.08"/>
    <s v="Cash"/>
    <x v="1"/>
    <x v="1"/>
    <n v="107798.97600000001"/>
    <n v="106164.40000000001"/>
    <n v="1634.5760000000009"/>
    <x v="1"/>
  </r>
  <r>
    <s v="ORD1077"/>
    <n v="1093"/>
    <x v="70"/>
    <s v="Sep"/>
    <x v="68"/>
    <n v="31"/>
    <s v="Mumbai"/>
    <x v="0"/>
    <x v="2"/>
    <n v="19"/>
    <x v="3"/>
    <n v="3808.59"/>
    <n v="4544.51"/>
    <s v="New"/>
    <n v="0.21"/>
    <s v="Credit Card"/>
    <x v="0"/>
    <x v="1"/>
    <n v="68213.095100000006"/>
    <n v="72363.210000000006"/>
    <n v="-4150.1149000000005"/>
    <x v="1"/>
  </r>
  <r>
    <s v="ORD1078"/>
    <n v="1063"/>
    <x v="71"/>
    <s v="May"/>
    <x v="69"/>
    <n v="43"/>
    <s v="Bangalore"/>
    <x v="0"/>
    <x v="0"/>
    <n v="39"/>
    <x v="1"/>
    <n v="3577.69"/>
    <n v="3931.25"/>
    <s v="Returning"/>
    <n v="0.21"/>
    <s v="Cash"/>
    <x v="0"/>
    <x v="0"/>
    <n v="121121.8125"/>
    <n v="139529.91"/>
    <n v="-18408.097500000003"/>
    <x v="0"/>
  </r>
  <r>
    <s v="ORD1079"/>
    <n v="1018"/>
    <x v="72"/>
    <s v="Jun"/>
    <x v="70"/>
    <n v="45"/>
    <s v="Mumbai"/>
    <x v="0"/>
    <x v="3"/>
    <n v="28"/>
    <x v="2"/>
    <n v="1006.14"/>
    <n v="2043.45"/>
    <s v="New"/>
    <n v="0.15"/>
    <s v="Bank Transfer"/>
    <x v="1"/>
    <x v="1"/>
    <n v="48634.11"/>
    <n v="28171.919999999998"/>
    <n v="20462.190000000002"/>
    <x v="0"/>
  </r>
  <r>
    <s v="ORD1080"/>
    <n v="1090"/>
    <x v="73"/>
    <s v="Jan"/>
    <x v="71"/>
    <n v="40"/>
    <s v="Mumbai"/>
    <x v="1"/>
    <x v="0"/>
    <n v="17"/>
    <x v="2"/>
    <n v="2382.98"/>
    <n v="2839.73"/>
    <s v="Returning"/>
    <n v="0.23"/>
    <s v="Bank Transfer"/>
    <x v="0"/>
    <x v="2"/>
    <n v="37172.065700000006"/>
    <n v="40510.660000000003"/>
    <n v="-3338.594299999997"/>
    <x v="1"/>
  </r>
  <r>
    <s v="ORD1081"/>
    <n v="1044"/>
    <x v="74"/>
    <s v="Jun"/>
    <x v="72"/>
    <n v="31"/>
    <s v="Kolkata"/>
    <x v="4"/>
    <x v="2"/>
    <n v="6"/>
    <x v="0"/>
    <n v="2388.9499999999998"/>
    <n v="2742.97"/>
    <s v="Returning"/>
    <n v="0.25"/>
    <s v="Credit Card"/>
    <x v="0"/>
    <x v="2"/>
    <n v="12343.365"/>
    <n v="14333.699999999999"/>
    <n v="-1990.3349999999991"/>
    <x v="1"/>
  </r>
  <r>
    <s v="ORD1082"/>
    <n v="1034"/>
    <x v="75"/>
    <s v="May"/>
    <x v="55"/>
    <n v="41"/>
    <s v="Bangalore"/>
    <x v="1"/>
    <x v="3"/>
    <n v="19"/>
    <x v="2"/>
    <n v="1922.21"/>
    <n v="2180.83"/>
    <s v="Returning"/>
    <n v="0.17"/>
    <s v="Credit Card"/>
    <x v="0"/>
    <x v="0"/>
    <n v="34391.689099999996"/>
    <n v="36521.99"/>
    <n v="-2130.300900000002"/>
    <x v="0"/>
  </r>
  <r>
    <s v="ORD1083"/>
    <n v="1074"/>
    <x v="76"/>
    <s v="Mar"/>
    <x v="73"/>
    <n v="19"/>
    <s v="Chennai"/>
    <x v="1"/>
    <x v="2"/>
    <n v="38"/>
    <x v="1"/>
    <n v="2610.6"/>
    <n v="3836.94"/>
    <s v="Returning"/>
    <n v="0.19"/>
    <s v="Credit Card"/>
    <x v="1"/>
    <x v="2"/>
    <n v="118101.01320000002"/>
    <n v="99202.8"/>
    <n v="18898.213200000013"/>
    <x v="2"/>
  </r>
  <r>
    <s v="ORD1084"/>
    <n v="1062"/>
    <x v="77"/>
    <s v="Nov"/>
    <x v="74"/>
    <n v="62"/>
    <s v="Kolkata"/>
    <x v="4"/>
    <x v="2"/>
    <n v="28"/>
    <x v="2"/>
    <n v="2094.88"/>
    <n v="2168.91"/>
    <s v="Returning"/>
    <n v="0.08"/>
    <s v="Cash"/>
    <x v="1"/>
    <x v="0"/>
    <n v="55871.121599999999"/>
    <n v="58656.639999999999"/>
    <n v="-2785.5184000000008"/>
    <x v="0"/>
  </r>
  <r>
    <s v="ORD1085"/>
    <n v="1100"/>
    <x v="78"/>
    <s v="Nov"/>
    <x v="17"/>
    <n v="43"/>
    <s v="Kolkata"/>
    <x v="4"/>
    <x v="1"/>
    <n v="2"/>
    <x v="0"/>
    <n v="1036.76"/>
    <n v="1189.3499999999999"/>
    <s v="New"/>
    <n v="0.27"/>
    <s v="Bank Transfer"/>
    <x v="1"/>
    <x v="0"/>
    <n v="1736.4509999999998"/>
    <n v="2073.52"/>
    <n v="-337.06900000000019"/>
    <x v="0"/>
  </r>
  <r>
    <s v="ORD1086"/>
    <n v="1014"/>
    <x v="6"/>
    <s v="Apr"/>
    <x v="52"/>
    <n v="31"/>
    <s v="Chennai"/>
    <x v="4"/>
    <x v="1"/>
    <n v="38"/>
    <x v="1"/>
    <n v="2091.21"/>
    <n v="2527"/>
    <s v="Returning"/>
    <n v="0.01"/>
    <s v="Credit Card"/>
    <x v="0"/>
    <x v="2"/>
    <n v="95065.74"/>
    <n v="79465.98"/>
    <n v="15599.760000000009"/>
    <x v="1"/>
  </r>
  <r>
    <s v="ORD1087"/>
    <n v="1095"/>
    <x v="79"/>
    <s v="Nov"/>
    <x v="75"/>
    <n v="24"/>
    <s v="Mumbai"/>
    <x v="4"/>
    <x v="2"/>
    <n v="37"/>
    <x v="3"/>
    <n v="407.77"/>
    <n v="860.95"/>
    <s v="New"/>
    <n v="0.1"/>
    <s v="Credit Card"/>
    <x v="1"/>
    <x v="0"/>
    <n v="28669.635000000002"/>
    <n v="15087.49"/>
    <n v="13582.145000000002"/>
    <x v="2"/>
  </r>
  <r>
    <s v="ORD1088"/>
    <n v="1048"/>
    <x v="80"/>
    <s v="Sep"/>
    <x v="7"/>
    <n v="20"/>
    <s v="Delhi"/>
    <x v="0"/>
    <x v="2"/>
    <n v="4"/>
    <x v="0"/>
    <n v="2900.14"/>
    <n v="2910.51"/>
    <s v="New"/>
    <n v="0.22"/>
    <s v="Credit Card"/>
    <x v="0"/>
    <x v="2"/>
    <n v="9080.7912000000015"/>
    <n v="11600.56"/>
    <n v="-2519.768799999998"/>
    <x v="2"/>
  </r>
  <r>
    <s v="ORD1089"/>
    <n v="1015"/>
    <x v="81"/>
    <s v="Sep"/>
    <x v="48"/>
    <n v="64"/>
    <s v="Bangalore"/>
    <x v="2"/>
    <x v="2"/>
    <n v="22"/>
    <x v="3"/>
    <n v="4275.59"/>
    <n v="4576.72"/>
    <s v="Returning"/>
    <n v="0.02"/>
    <s v="Cash"/>
    <x v="0"/>
    <x v="1"/>
    <n v="98674.083200000008"/>
    <n v="94062.98000000001"/>
    <n v="4611.1031999999977"/>
    <x v="0"/>
  </r>
  <r>
    <s v="ORD1090"/>
    <n v="1072"/>
    <x v="61"/>
    <s v="Feb"/>
    <x v="31"/>
    <n v="40"/>
    <s v="Delhi"/>
    <x v="2"/>
    <x v="1"/>
    <n v="26"/>
    <x v="1"/>
    <n v="3640.17"/>
    <n v="4002.63"/>
    <s v="New"/>
    <n v="0.05"/>
    <s v="Credit Card"/>
    <x v="1"/>
    <x v="1"/>
    <n v="98864.960999999996"/>
    <n v="94644.42"/>
    <n v="4220.5409999999974"/>
    <x v="1"/>
  </r>
  <r>
    <s v="ORD1091"/>
    <n v="1078"/>
    <x v="41"/>
    <s v="Apr"/>
    <x v="76"/>
    <n v="63"/>
    <s v="Chennai"/>
    <x v="4"/>
    <x v="1"/>
    <n v="49"/>
    <x v="0"/>
    <n v="1833.95"/>
    <n v="2147.14"/>
    <s v="Returning"/>
    <n v="0.18"/>
    <s v="Credit Card"/>
    <x v="1"/>
    <x v="0"/>
    <n v="86272.085200000001"/>
    <n v="89863.55"/>
    <n v="-3591.4648000000016"/>
    <x v="0"/>
  </r>
  <r>
    <s v="ORD1092"/>
    <n v="1087"/>
    <x v="25"/>
    <s v="Apr"/>
    <x v="77"/>
    <n v="60"/>
    <s v="Kolkata"/>
    <x v="2"/>
    <x v="0"/>
    <n v="43"/>
    <x v="0"/>
    <n v="481"/>
    <n v="531.02"/>
    <s v="New"/>
    <n v="0.17"/>
    <s v="Cash"/>
    <x v="0"/>
    <x v="2"/>
    <n v="18952.103800000001"/>
    <n v="20683"/>
    <n v="-1730.8961999999992"/>
    <x v="0"/>
  </r>
  <r>
    <s v="ORD1093"/>
    <n v="1062"/>
    <x v="82"/>
    <s v="Nov"/>
    <x v="40"/>
    <n v="64"/>
    <s v="Kolkata"/>
    <x v="2"/>
    <x v="0"/>
    <n v="36"/>
    <x v="1"/>
    <n v="1050.6400000000001"/>
    <n v="1167.33"/>
    <s v="New"/>
    <n v="0.22"/>
    <s v="Cash"/>
    <x v="0"/>
    <x v="2"/>
    <n v="32778.626400000001"/>
    <n v="37823.040000000001"/>
    <n v="-5044.4135999999999"/>
    <x v="0"/>
  </r>
  <r>
    <s v="ORD1094"/>
    <n v="1040"/>
    <x v="83"/>
    <s v="Mar"/>
    <x v="54"/>
    <n v="62"/>
    <s v="Bangalore"/>
    <x v="4"/>
    <x v="2"/>
    <n v="13"/>
    <x v="2"/>
    <n v="2750.18"/>
    <n v="2882.85"/>
    <s v="Returning"/>
    <n v="0.24"/>
    <s v="Credit Card"/>
    <x v="1"/>
    <x v="1"/>
    <n v="28482.557999999997"/>
    <n v="35752.339999999997"/>
    <n v="-7269.7819999999992"/>
    <x v="0"/>
  </r>
  <r>
    <s v="ORD1095"/>
    <n v="1085"/>
    <x v="24"/>
    <s v="Nov"/>
    <x v="78"/>
    <n v="35"/>
    <s v="Kolkata"/>
    <x v="2"/>
    <x v="3"/>
    <n v="32"/>
    <x v="0"/>
    <n v="1074.93"/>
    <n v="1492.48"/>
    <s v="Returning"/>
    <n v="0.04"/>
    <s v="Credit Card"/>
    <x v="1"/>
    <x v="1"/>
    <n v="45848.9856"/>
    <n v="34397.760000000002"/>
    <n v="11451.225599999998"/>
    <x v="1"/>
  </r>
  <r>
    <s v="ORD1096"/>
    <n v="1080"/>
    <x v="3"/>
    <s v="Aug"/>
    <x v="79"/>
    <n v="55"/>
    <s v="Kolkata"/>
    <x v="1"/>
    <x v="3"/>
    <n v="17"/>
    <x v="0"/>
    <n v="2742.67"/>
    <n v="2979.64"/>
    <s v="Returning"/>
    <n v="0.01"/>
    <s v="Cash"/>
    <x v="1"/>
    <x v="2"/>
    <n v="50147.341199999995"/>
    <n v="46625.39"/>
    <n v="3521.9511999999959"/>
    <x v="0"/>
  </r>
  <r>
    <s v="ORD1097"/>
    <n v="1082"/>
    <x v="84"/>
    <s v="Nov"/>
    <x v="80"/>
    <n v="52"/>
    <s v="Bangalore"/>
    <x v="3"/>
    <x v="1"/>
    <n v="41"/>
    <x v="3"/>
    <n v="1196.42"/>
    <n v="1444.97"/>
    <s v="Returning"/>
    <n v="0.21"/>
    <s v="Bank Transfer"/>
    <x v="0"/>
    <x v="0"/>
    <n v="46802.578300000008"/>
    <n v="49053.22"/>
    <n v="-2250.6416999999929"/>
    <x v="0"/>
  </r>
  <r>
    <s v="ORD1098"/>
    <n v="1053"/>
    <x v="28"/>
    <s v="May"/>
    <x v="57"/>
    <n v="32"/>
    <s v="Bangalore"/>
    <x v="3"/>
    <x v="1"/>
    <n v="36"/>
    <x v="2"/>
    <n v="4252.17"/>
    <n v="4720.2700000000004"/>
    <s v="New"/>
    <n v="0.09"/>
    <s v="Cash"/>
    <x v="0"/>
    <x v="1"/>
    <n v="154636.04520000002"/>
    <n v="153078.12"/>
    <n v="1557.925200000027"/>
    <x v="1"/>
  </r>
  <r>
    <s v="ORD1099"/>
    <n v="1024"/>
    <x v="85"/>
    <s v="Mar"/>
    <x v="38"/>
    <n v="42"/>
    <s v="Chennai"/>
    <x v="4"/>
    <x v="1"/>
    <n v="46"/>
    <x v="3"/>
    <n v="2016.49"/>
    <n v="2338.66"/>
    <s v="Returning"/>
    <n v="0.19"/>
    <s v="Bank Transfer"/>
    <x v="0"/>
    <x v="0"/>
    <n v="87138.47159999999"/>
    <n v="92758.54"/>
    <n v="-5620.0684000000037"/>
    <x v="0"/>
  </r>
  <r>
    <s v="ORD1100"/>
    <n v="1026"/>
    <x v="86"/>
    <s v="Feb"/>
    <x v="81"/>
    <n v="54"/>
    <s v="Kolkata"/>
    <x v="0"/>
    <x v="2"/>
    <n v="19"/>
    <x v="3"/>
    <n v="1265.48"/>
    <n v="1715.83"/>
    <s v="New"/>
    <n v="0.05"/>
    <s v="Credit Card"/>
    <x v="0"/>
    <x v="0"/>
    <n v="30970.731499999994"/>
    <n v="24044.12"/>
    <n v="6926.6114999999954"/>
    <x v="0"/>
  </r>
  <r>
    <s v="ORD1101"/>
    <n v="1089"/>
    <x v="58"/>
    <s v="Jan"/>
    <x v="65"/>
    <n v="45"/>
    <s v="Kolkata"/>
    <x v="4"/>
    <x v="3"/>
    <n v="35"/>
    <x v="2"/>
    <n v="4071.01"/>
    <n v="4304.7"/>
    <s v="New"/>
    <n v="0.14000000000000001"/>
    <s v="Credit Card"/>
    <x v="0"/>
    <x v="1"/>
    <n v="129571.47"/>
    <n v="142485.35"/>
    <n v="-12913.880000000005"/>
    <x v="0"/>
  </r>
  <r>
    <s v="ORD1102"/>
    <n v="1060"/>
    <x v="87"/>
    <s v="Oct"/>
    <x v="82"/>
    <n v="27"/>
    <s v="Chennai"/>
    <x v="0"/>
    <x v="0"/>
    <n v="46"/>
    <x v="2"/>
    <n v="1747.05"/>
    <n v="1830.27"/>
    <s v="New"/>
    <n v="0.15"/>
    <s v="Bank Transfer"/>
    <x v="1"/>
    <x v="0"/>
    <n v="71563.557000000001"/>
    <n v="80364.3"/>
    <n v="-8800.7430000000022"/>
    <x v="1"/>
  </r>
  <r>
    <s v="ORD1103"/>
    <n v="1041"/>
    <x v="10"/>
    <s v="Nov"/>
    <x v="52"/>
    <n v="56"/>
    <s v="Mumbai"/>
    <x v="3"/>
    <x v="2"/>
    <n v="40"/>
    <x v="1"/>
    <n v="601.86"/>
    <n v="1067.53"/>
    <s v="New"/>
    <n v="0.18"/>
    <s v="Cash"/>
    <x v="1"/>
    <x v="0"/>
    <n v="35014.983999999997"/>
    <n v="24074.400000000001"/>
    <n v="10940.583999999995"/>
    <x v="0"/>
  </r>
  <r>
    <s v="ORD1104"/>
    <n v="1029"/>
    <x v="88"/>
    <s v="Mar"/>
    <x v="73"/>
    <n v="34"/>
    <s v="Mumbai"/>
    <x v="4"/>
    <x v="0"/>
    <n v="28"/>
    <x v="2"/>
    <n v="2873.53"/>
    <n v="3108.3"/>
    <s v="New"/>
    <n v="0.15"/>
    <s v="Credit Card"/>
    <x v="0"/>
    <x v="2"/>
    <n v="73977.540000000008"/>
    <n v="80458.840000000011"/>
    <n v="-6481.3000000000029"/>
    <x v="1"/>
  </r>
  <r>
    <s v="ORD1105"/>
    <n v="1015"/>
    <x v="10"/>
    <s v="Nov"/>
    <x v="83"/>
    <n v="56"/>
    <s v="Mumbai"/>
    <x v="1"/>
    <x v="0"/>
    <n v="1"/>
    <x v="0"/>
    <n v="2928.74"/>
    <n v="3027.74"/>
    <s v="New"/>
    <n v="0.15"/>
    <s v="Bank Transfer"/>
    <x v="0"/>
    <x v="0"/>
    <n v="2573.5789999999997"/>
    <n v="2928.74"/>
    <n v="-355.16100000000006"/>
    <x v="0"/>
  </r>
  <r>
    <s v="ORD1106"/>
    <n v="1045"/>
    <x v="89"/>
    <s v="Dec"/>
    <x v="6"/>
    <n v="39"/>
    <s v="Chennai"/>
    <x v="2"/>
    <x v="2"/>
    <n v="42"/>
    <x v="2"/>
    <n v="3587.74"/>
    <n v="4745.91"/>
    <s v="Returning"/>
    <n v="0.1"/>
    <s v="Cash"/>
    <x v="1"/>
    <x v="2"/>
    <n v="179395.39800000002"/>
    <n v="150685.07999999999"/>
    <n v="28710.318000000028"/>
    <x v="1"/>
  </r>
  <r>
    <s v="ORD1107"/>
    <n v="1065"/>
    <x v="90"/>
    <s v="Nov"/>
    <x v="46"/>
    <n v="43"/>
    <s v="Kolkata"/>
    <x v="0"/>
    <x v="0"/>
    <n v="18"/>
    <x v="1"/>
    <n v="1239.0899999999999"/>
    <n v="1273.98"/>
    <s v="New"/>
    <n v="0.02"/>
    <s v="Bank Transfer"/>
    <x v="1"/>
    <x v="1"/>
    <n v="22473.0072"/>
    <n v="22303.62"/>
    <n v="169.38720000000103"/>
    <x v="0"/>
  </r>
  <r>
    <s v="ORD1108"/>
    <n v="1089"/>
    <x v="91"/>
    <s v="Sep"/>
    <x v="84"/>
    <n v="61"/>
    <s v="Chennai"/>
    <x v="2"/>
    <x v="3"/>
    <n v="48"/>
    <x v="1"/>
    <n v="2246.67"/>
    <n v="2486.14"/>
    <s v="New"/>
    <n v="0.03"/>
    <s v="Cash"/>
    <x v="1"/>
    <x v="1"/>
    <n v="115754.6784"/>
    <n v="107840.16"/>
    <n v="7914.5184000000008"/>
    <x v="0"/>
  </r>
  <r>
    <s v="ORD1109"/>
    <n v="1071"/>
    <x v="92"/>
    <s v="Dec"/>
    <x v="85"/>
    <n v="42"/>
    <s v="Chennai"/>
    <x v="2"/>
    <x v="0"/>
    <n v="40"/>
    <x v="1"/>
    <n v="1447.72"/>
    <n v="1875.75"/>
    <s v="New"/>
    <n v="0.13"/>
    <s v="Cash"/>
    <x v="1"/>
    <x v="2"/>
    <n v="65276.1"/>
    <n v="57908.800000000003"/>
    <n v="7367.2999999999956"/>
    <x v="0"/>
  </r>
  <r>
    <s v="ORD1110"/>
    <n v="1009"/>
    <x v="14"/>
    <s v="Aug"/>
    <x v="8"/>
    <n v="34"/>
    <s v="Mumbai"/>
    <x v="4"/>
    <x v="3"/>
    <n v="33"/>
    <x v="2"/>
    <n v="450.72"/>
    <n v="918.17"/>
    <s v="Returning"/>
    <n v="0.11"/>
    <s v="Cash"/>
    <x v="0"/>
    <x v="1"/>
    <n v="26966.652899999997"/>
    <n v="14873.76"/>
    <n v="12092.892899999997"/>
    <x v="1"/>
  </r>
  <r>
    <s v="ORD1111"/>
    <n v="1088"/>
    <x v="93"/>
    <s v="Sep"/>
    <x v="86"/>
    <n v="30"/>
    <s v="Delhi"/>
    <x v="2"/>
    <x v="3"/>
    <n v="12"/>
    <x v="2"/>
    <n v="4389.24"/>
    <n v="4856.22"/>
    <s v="Returning"/>
    <n v="0.15"/>
    <s v="Cash"/>
    <x v="1"/>
    <x v="0"/>
    <n v="49533.443999999996"/>
    <n v="52670.879999999997"/>
    <n v="-3137.4360000000015"/>
    <x v="1"/>
  </r>
  <r>
    <s v="ORD1112"/>
    <n v="1001"/>
    <x v="94"/>
    <s v="Nov"/>
    <x v="87"/>
    <n v="37"/>
    <s v="Kolkata"/>
    <x v="1"/>
    <x v="3"/>
    <n v="8"/>
    <x v="3"/>
    <n v="3657.91"/>
    <n v="3729.27"/>
    <s v="New"/>
    <n v="0.09"/>
    <s v="Bank Transfer"/>
    <x v="0"/>
    <x v="0"/>
    <n v="27149.085600000002"/>
    <n v="29263.279999999999"/>
    <n v="-2114.1943999999967"/>
    <x v="1"/>
  </r>
  <r>
    <s v="ORD1113"/>
    <n v="1008"/>
    <x v="95"/>
    <s v="Oct"/>
    <x v="88"/>
    <n v="42"/>
    <s v="Mumbai"/>
    <x v="2"/>
    <x v="1"/>
    <n v="24"/>
    <x v="3"/>
    <n v="1542.24"/>
    <n v="1739.45"/>
    <s v="Returning"/>
    <n v="0.21"/>
    <s v="Bank Transfer"/>
    <x v="1"/>
    <x v="0"/>
    <n v="32979.972000000002"/>
    <n v="37013.760000000002"/>
    <n v="-4033.7880000000005"/>
    <x v="0"/>
  </r>
  <r>
    <s v="ORD1114"/>
    <n v="1088"/>
    <x v="96"/>
    <s v="Oct"/>
    <x v="89"/>
    <n v="21"/>
    <s v="Delhi"/>
    <x v="4"/>
    <x v="0"/>
    <n v="16"/>
    <x v="0"/>
    <n v="3016.9"/>
    <n v="4140.7299999999996"/>
    <s v="New"/>
    <n v="0.26"/>
    <s v="Bank Transfer"/>
    <x v="1"/>
    <x v="1"/>
    <n v="49026.243199999997"/>
    <n v="48270.400000000001"/>
    <n v="755.8431999999957"/>
    <x v="2"/>
  </r>
  <r>
    <s v="ORD1115"/>
    <n v="1063"/>
    <x v="97"/>
    <s v="Aug"/>
    <x v="90"/>
    <n v="27"/>
    <s v="Delhi"/>
    <x v="1"/>
    <x v="2"/>
    <n v="4"/>
    <x v="3"/>
    <n v="1046.26"/>
    <n v="1475.29"/>
    <s v="Returning"/>
    <n v="0.09"/>
    <s v="Bank Transfer"/>
    <x v="1"/>
    <x v="0"/>
    <n v="5370.0555999999997"/>
    <n v="4185.04"/>
    <n v="1185.0155999999997"/>
    <x v="1"/>
  </r>
  <r>
    <s v="ORD1116"/>
    <n v="1011"/>
    <x v="98"/>
    <s v="Jun"/>
    <x v="91"/>
    <n v="20"/>
    <s v="Bangalore"/>
    <x v="3"/>
    <x v="2"/>
    <n v="38"/>
    <x v="0"/>
    <n v="4456.67"/>
    <n v="4642.46"/>
    <s v="New"/>
    <n v="0.06"/>
    <s v="Bank Transfer"/>
    <x v="0"/>
    <x v="1"/>
    <n v="165828.67120000001"/>
    <n v="169353.46"/>
    <n v="-3524.7887999999803"/>
    <x v="2"/>
  </r>
  <r>
    <s v="ORD1117"/>
    <n v="1081"/>
    <x v="99"/>
    <s v="Jan"/>
    <x v="45"/>
    <n v="58"/>
    <s v="Kolkata"/>
    <x v="2"/>
    <x v="0"/>
    <n v="44"/>
    <x v="1"/>
    <n v="618.79"/>
    <n v="938.04"/>
    <s v="Returning"/>
    <n v="0.03"/>
    <s v="Cash"/>
    <x v="0"/>
    <x v="0"/>
    <n v="40035.547199999994"/>
    <n v="27226.76"/>
    <n v="12808.787199999995"/>
    <x v="0"/>
  </r>
  <r>
    <s v="ORD1118"/>
    <n v="1008"/>
    <x v="100"/>
    <s v="Dec"/>
    <x v="0"/>
    <n v="62"/>
    <s v="Delhi"/>
    <x v="4"/>
    <x v="1"/>
    <n v="27"/>
    <x v="3"/>
    <n v="68.989999999999995"/>
    <n v="429.29"/>
    <s v="Returning"/>
    <n v="0.18"/>
    <s v="Credit Card"/>
    <x v="1"/>
    <x v="2"/>
    <n v="9504.4806000000008"/>
    <n v="1862.7299999999998"/>
    <n v="7641.7506000000012"/>
    <x v="0"/>
  </r>
  <r>
    <s v="ORD1119"/>
    <n v="1035"/>
    <x v="101"/>
    <s v="Mar"/>
    <x v="48"/>
    <n v="35"/>
    <s v="Mumbai"/>
    <x v="3"/>
    <x v="1"/>
    <n v="9"/>
    <x v="2"/>
    <n v="2534.94"/>
    <n v="2755.56"/>
    <s v="Returning"/>
    <n v="0.13"/>
    <s v="Credit Card"/>
    <x v="0"/>
    <x v="1"/>
    <n v="21576.034800000001"/>
    <n v="22814.46"/>
    <n v="-1238.4251999999979"/>
    <x v="1"/>
  </r>
  <r>
    <s v="ORD1120"/>
    <n v="1035"/>
    <x v="42"/>
    <s v="Mar"/>
    <x v="12"/>
    <n v="64"/>
    <s v="Bangalore"/>
    <x v="3"/>
    <x v="3"/>
    <n v="47"/>
    <x v="3"/>
    <n v="2936.48"/>
    <n v="3096.64"/>
    <s v="New"/>
    <n v="0.06"/>
    <s v="Bank Transfer"/>
    <x v="0"/>
    <x v="1"/>
    <n v="136809.55519999997"/>
    <n v="138014.56"/>
    <n v="-1205.0048000000243"/>
    <x v="0"/>
  </r>
  <r>
    <s v="ORD1121"/>
    <n v="1033"/>
    <x v="102"/>
    <s v="May"/>
    <x v="92"/>
    <n v="53"/>
    <s v="Kolkata"/>
    <x v="0"/>
    <x v="0"/>
    <n v="16"/>
    <x v="0"/>
    <n v="2915.88"/>
    <n v="3397.36"/>
    <s v="New"/>
    <n v="0.2"/>
    <s v="Bank Transfer"/>
    <x v="1"/>
    <x v="0"/>
    <n v="43486.208000000006"/>
    <n v="46654.080000000002"/>
    <n v="-3167.8719999999958"/>
    <x v="0"/>
  </r>
  <r>
    <s v="ORD1122"/>
    <n v="1005"/>
    <x v="103"/>
    <s v="Mar"/>
    <x v="93"/>
    <n v="64"/>
    <s v="Chennai"/>
    <x v="1"/>
    <x v="0"/>
    <n v="12"/>
    <x v="3"/>
    <n v="319.83"/>
    <n v="802.43"/>
    <s v="New"/>
    <n v="0.04"/>
    <s v="Credit Card"/>
    <x v="1"/>
    <x v="1"/>
    <n v="9243.9935999999998"/>
    <n v="3837.96"/>
    <n v="5406.0335999999998"/>
    <x v="0"/>
  </r>
  <r>
    <s v="ORD1123"/>
    <n v="1041"/>
    <x v="104"/>
    <s v="Aug"/>
    <x v="94"/>
    <n v="39"/>
    <s v="Mumbai"/>
    <x v="2"/>
    <x v="2"/>
    <n v="31"/>
    <x v="1"/>
    <n v="1604.52"/>
    <n v="1756.34"/>
    <s v="Returning"/>
    <n v="0.17"/>
    <s v="Cash"/>
    <x v="0"/>
    <x v="1"/>
    <n v="45190.628199999999"/>
    <n v="49740.12"/>
    <n v="-4549.4918000000034"/>
    <x v="1"/>
  </r>
  <r>
    <s v="ORD1124"/>
    <n v="1028"/>
    <x v="5"/>
    <s v="Feb"/>
    <x v="95"/>
    <n v="51"/>
    <s v="Delhi"/>
    <x v="4"/>
    <x v="0"/>
    <n v="24"/>
    <x v="2"/>
    <n v="2521.0300000000002"/>
    <n v="2766.05"/>
    <s v="Returning"/>
    <n v="0.16"/>
    <s v="Bank Transfer"/>
    <x v="0"/>
    <x v="2"/>
    <n v="55763.568000000007"/>
    <n v="60504.72"/>
    <n v="-4741.1519999999946"/>
    <x v="0"/>
  </r>
  <r>
    <s v="ORD1125"/>
    <n v="1007"/>
    <x v="103"/>
    <s v="Mar"/>
    <x v="43"/>
    <n v="64"/>
    <s v="Delhi"/>
    <x v="0"/>
    <x v="1"/>
    <n v="14"/>
    <x v="0"/>
    <n v="1122.07"/>
    <n v="1608.76"/>
    <s v="New"/>
    <n v="0.22"/>
    <s v="Cash"/>
    <x v="0"/>
    <x v="2"/>
    <n v="17567.659200000002"/>
    <n v="15708.98"/>
    <n v="1858.6792000000023"/>
    <x v="0"/>
  </r>
  <r>
    <s v="ORD1126"/>
    <n v="1073"/>
    <x v="87"/>
    <s v="Oct"/>
    <x v="38"/>
    <n v="25"/>
    <s v="Mumbai"/>
    <x v="1"/>
    <x v="0"/>
    <n v="45"/>
    <x v="2"/>
    <n v="4369.5"/>
    <n v="4381.8900000000003"/>
    <s v="Returning"/>
    <n v="0.02"/>
    <s v="Credit Card"/>
    <x v="1"/>
    <x v="0"/>
    <n v="193241.34900000002"/>
    <n v="196627.5"/>
    <n v="-3386.1509999999835"/>
    <x v="1"/>
  </r>
  <r>
    <s v="ORD1127"/>
    <n v="1072"/>
    <x v="90"/>
    <s v="Nov"/>
    <x v="96"/>
    <n v="57"/>
    <s v="Delhi"/>
    <x v="0"/>
    <x v="2"/>
    <n v="25"/>
    <x v="2"/>
    <n v="481.19"/>
    <n v="693.4"/>
    <s v="New"/>
    <n v="0.27"/>
    <s v="Credit Card"/>
    <x v="1"/>
    <x v="2"/>
    <n v="12654.55"/>
    <n v="12029.75"/>
    <n v="624.79999999999927"/>
    <x v="0"/>
  </r>
  <r>
    <s v="ORD1128"/>
    <n v="1012"/>
    <x v="105"/>
    <s v="Oct"/>
    <x v="97"/>
    <n v="61"/>
    <s v="Bangalore"/>
    <x v="1"/>
    <x v="3"/>
    <n v="34"/>
    <x v="0"/>
    <n v="2462.5500000000002"/>
    <n v="2521.77"/>
    <s v="New"/>
    <n v="0.21"/>
    <s v="Bank Transfer"/>
    <x v="0"/>
    <x v="0"/>
    <n v="67734.742199999993"/>
    <n v="83726.700000000012"/>
    <n v="-15991.957800000018"/>
    <x v="0"/>
  </r>
  <r>
    <s v="ORD1129"/>
    <n v="1034"/>
    <x v="106"/>
    <s v="Apr"/>
    <x v="98"/>
    <n v="36"/>
    <s v="Kolkata"/>
    <x v="1"/>
    <x v="2"/>
    <n v="3"/>
    <x v="2"/>
    <n v="3472.51"/>
    <n v="3732"/>
    <s v="New"/>
    <n v="0.06"/>
    <s v="Cash"/>
    <x v="1"/>
    <x v="0"/>
    <n v="10524.24"/>
    <n v="10417.530000000001"/>
    <n v="106.70999999999913"/>
    <x v="1"/>
  </r>
  <r>
    <s v="ORD1130"/>
    <n v="1033"/>
    <x v="107"/>
    <s v="Jan"/>
    <x v="15"/>
    <n v="59"/>
    <s v="Bangalore"/>
    <x v="2"/>
    <x v="2"/>
    <n v="24"/>
    <x v="2"/>
    <n v="1345.67"/>
    <n v="1367.76"/>
    <s v="New"/>
    <n v="0.06"/>
    <s v="Bank Transfer"/>
    <x v="1"/>
    <x v="0"/>
    <n v="30856.665599999997"/>
    <n v="32296.080000000002"/>
    <n v="-1439.4144000000051"/>
    <x v="0"/>
  </r>
  <r>
    <s v="ORD1131"/>
    <n v="1048"/>
    <x v="108"/>
    <s v="Oct"/>
    <x v="99"/>
    <n v="58"/>
    <s v="Delhi"/>
    <x v="1"/>
    <x v="3"/>
    <n v="42"/>
    <x v="3"/>
    <n v="3139.99"/>
    <n v="3349.37"/>
    <s v="Returning"/>
    <n v="0.13"/>
    <s v="Credit Card"/>
    <x v="0"/>
    <x v="1"/>
    <n v="122385.9798"/>
    <n v="131879.57999999999"/>
    <n v="-9493.6001999999862"/>
    <x v="0"/>
  </r>
  <r>
    <s v="ORD1132"/>
    <n v="1023"/>
    <x v="109"/>
    <s v="Jun"/>
    <x v="8"/>
    <n v="54"/>
    <s v="Chennai"/>
    <x v="0"/>
    <x v="2"/>
    <n v="9"/>
    <x v="2"/>
    <n v="4155.46"/>
    <n v="4273.6000000000004"/>
    <s v="Returning"/>
    <n v="0.25"/>
    <s v="Cash"/>
    <x v="0"/>
    <x v="2"/>
    <n v="28846.800000000003"/>
    <n v="37399.14"/>
    <n v="-8552.3399999999965"/>
    <x v="0"/>
  </r>
  <r>
    <s v="ORD1133"/>
    <n v="1062"/>
    <x v="110"/>
    <s v="May"/>
    <x v="31"/>
    <n v="23"/>
    <s v="Kolkata"/>
    <x v="1"/>
    <x v="2"/>
    <n v="26"/>
    <x v="2"/>
    <n v="992.17"/>
    <n v="1263.49"/>
    <s v="Returning"/>
    <n v="0.25"/>
    <s v="Bank Transfer"/>
    <x v="1"/>
    <x v="0"/>
    <n v="24638.055"/>
    <n v="25796.42"/>
    <n v="-1158.364999999998"/>
    <x v="2"/>
  </r>
  <r>
    <s v="ORD1134"/>
    <n v="1088"/>
    <x v="111"/>
    <s v="Dec"/>
    <x v="35"/>
    <n v="43"/>
    <s v="Kolkata"/>
    <x v="2"/>
    <x v="0"/>
    <n v="20"/>
    <x v="2"/>
    <n v="4590.24"/>
    <n v="5088.28"/>
    <s v="New"/>
    <n v="0.16"/>
    <s v="Bank Transfer"/>
    <x v="1"/>
    <x v="2"/>
    <n v="85483.103999999992"/>
    <n v="91804.799999999988"/>
    <n v="-6321.6959999999963"/>
    <x v="0"/>
  </r>
  <r>
    <s v="ORD1135"/>
    <n v="1037"/>
    <x v="112"/>
    <s v="Jan"/>
    <x v="100"/>
    <n v="51"/>
    <s v="Mumbai"/>
    <x v="2"/>
    <x v="0"/>
    <n v="40"/>
    <x v="2"/>
    <n v="2790.11"/>
    <n v="4192.37"/>
    <s v="Returning"/>
    <n v="0.26"/>
    <s v="Bank Transfer"/>
    <x v="0"/>
    <x v="0"/>
    <n v="124094.15199999999"/>
    <n v="111604.40000000001"/>
    <n v="12489.751999999979"/>
    <x v="0"/>
  </r>
  <r>
    <s v="ORD1136"/>
    <n v="1099"/>
    <x v="113"/>
    <s v="Mar"/>
    <x v="34"/>
    <n v="62"/>
    <s v="Mumbai"/>
    <x v="0"/>
    <x v="3"/>
    <n v="10"/>
    <x v="0"/>
    <n v="1531.2"/>
    <n v="1955.56"/>
    <s v="New"/>
    <n v="0"/>
    <s v="Credit Card"/>
    <x v="1"/>
    <x v="2"/>
    <n v="19555.599999999999"/>
    <n v="15312"/>
    <n v="4243.5999999999985"/>
    <x v="0"/>
  </r>
  <r>
    <s v="ORD1137"/>
    <n v="1044"/>
    <x v="114"/>
    <s v="May"/>
    <x v="8"/>
    <n v="23"/>
    <s v="Chennai"/>
    <x v="3"/>
    <x v="0"/>
    <n v="19"/>
    <x v="1"/>
    <n v="2182.75"/>
    <n v="2504.0300000000002"/>
    <s v="New"/>
    <n v="0.01"/>
    <s v="Bank Transfer"/>
    <x v="1"/>
    <x v="2"/>
    <n v="47100.804300000003"/>
    <n v="41472.25"/>
    <n v="5628.5543000000034"/>
    <x v="2"/>
  </r>
  <r>
    <s v="ORD1138"/>
    <n v="1086"/>
    <x v="115"/>
    <s v="Jun"/>
    <x v="28"/>
    <n v="54"/>
    <s v="Kolkata"/>
    <x v="3"/>
    <x v="0"/>
    <n v="3"/>
    <x v="3"/>
    <n v="1595.35"/>
    <n v="1625.71"/>
    <s v="New"/>
    <n v="0.27"/>
    <s v="Cash"/>
    <x v="0"/>
    <x v="0"/>
    <n v="3560.3049000000001"/>
    <n v="4786.0499999999993"/>
    <n v="-1225.7450999999992"/>
    <x v="0"/>
  </r>
  <r>
    <s v="ORD1139"/>
    <n v="1091"/>
    <x v="116"/>
    <s v="May"/>
    <x v="101"/>
    <n v="50"/>
    <s v="Chennai"/>
    <x v="1"/>
    <x v="2"/>
    <n v="24"/>
    <x v="2"/>
    <n v="3639.3"/>
    <n v="3750.63"/>
    <s v="New"/>
    <n v="0.23"/>
    <s v="Bank Transfer"/>
    <x v="0"/>
    <x v="1"/>
    <n v="69311.642399999997"/>
    <n v="87343.200000000012"/>
    <n v="-18031.557600000015"/>
    <x v="0"/>
  </r>
  <r>
    <s v="ORD1140"/>
    <n v="1035"/>
    <x v="53"/>
    <s v="Aug"/>
    <x v="102"/>
    <n v="39"/>
    <s v="Mumbai"/>
    <x v="4"/>
    <x v="1"/>
    <n v="5"/>
    <x v="2"/>
    <n v="3991.69"/>
    <n v="4454.97"/>
    <s v="New"/>
    <n v="0.14000000000000001"/>
    <s v="Credit Card"/>
    <x v="1"/>
    <x v="2"/>
    <n v="19156.371000000003"/>
    <n v="19958.45"/>
    <n v="-802.0789999999979"/>
    <x v="1"/>
  </r>
  <r>
    <s v="ORD1141"/>
    <n v="1065"/>
    <x v="117"/>
    <s v="Nov"/>
    <x v="23"/>
    <n v="38"/>
    <s v="Mumbai"/>
    <x v="1"/>
    <x v="0"/>
    <n v="3"/>
    <x v="0"/>
    <n v="4173.04"/>
    <n v="4362.4399999999996"/>
    <s v="New"/>
    <n v="0.23"/>
    <s v="Bank Transfer"/>
    <x v="1"/>
    <x v="1"/>
    <n v="10077.2364"/>
    <n v="12519.119999999999"/>
    <n v="-2441.8835999999992"/>
    <x v="1"/>
  </r>
  <r>
    <s v="ORD1142"/>
    <n v="1099"/>
    <x v="106"/>
    <s v="Apr"/>
    <x v="103"/>
    <n v="23"/>
    <s v="Kolkata"/>
    <x v="0"/>
    <x v="1"/>
    <n v="27"/>
    <x v="1"/>
    <n v="4929.55"/>
    <n v="6990.33"/>
    <s v="Returning"/>
    <n v="0.28999999999999998"/>
    <s v="Credit Card"/>
    <x v="1"/>
    <x v="1"/>
    <n v="134004.62609999999"/>
    <n v="133097.85"/>
    <n v="906.77609999998822"/>
    <x v="2"/>
  </r>
  <r>
    <s v="ORD1143"/>
    <n v="1047"/>
    <x v="106"/>
    <s v="Apr"/>
    <x v="104"/>
    <n v="23"/>
    <s v="Bangalore"/>
    <x v="0"/>
    <x v="0"/>
    <n v="16"/>
    <x v="2"/>
    <n v="3966.86"/>
    <n v="5321.04"/>
    <s v="Returning"/>
    <n v="0.23"/>
    <s v="Credit Card"/>
    <x v="0"/>
    <x v="0"/>
    <n v="65555.212799999994"/>
    <n v="63469.760000000002"/>
    <n v="2085.4527999999918"/>
    <x v="2"/>
  </r>
  <r>
    <s v="ORD1144"/>
    <n v="1078"/>
    <x v="118"/>
    <s v="Feb"/>
    <x v="105"/>
    <n v="21"/>
    <s v="Delhi"/>
    <x v="0"/>
    <x v="0"/>
    <n v="49"/>
    <x v="0"/>
    <n v="3026.85"/>
    <n v="5183.58"/>
    <s v="Returning"/>
    <n v="0.25"/>
    <s v="Cash"/>
    <x v="1"/>
    <x v="0"/>
    <n v="190496.565"/>
    <n v="148315.65"/>
    <n v="42180.915000000008"/>
    <x v="2"/>
  </r>
  <r>
    <s v="ORD1145"/>
    <n v="1003"/>
    <x v="18"/>
    <s v="Jul"/>
    <x v="106"/>
    <n v="47"/>
    <s v="Mumbai"/>
    <x v="0"/>
    <x v="3"/>
    <n v="15"/>
    <x v="3"/>
    <n v="1729.14"/>
    <n v="1870.88"/>
    <s v="Returning"/>
    <n v="0.23"/>
    <s v="Cash"/>
    <x v="1"/>
    <x v="0"/>
    <n v="21608.664000000001"/>
    <n v="25937.100000000002"/>
    <n v="-4328.4360000000015"/>
    <x v="0"/>
  </r>
  <r>
    <s v="ORD1146"/>
    <n v="1001"/>
    <x v="39"/>
    <s v="May"/>
    <x v="104"/>
    <n v="28"/>
    <s v="Mumbai"/>
    <x v="0"/>
    <x v="3"/>
    <n v="35"/>
    <x v="3"/>
    <n v="2745.75"/>
    <n v="3244.76"/>
    <s v="New"/>
    <n v="0.05"/>
    <s v="Bank Transfer"/>
    <x v="0"/>
    <x v="2"/>
    <n v="107888.27"/>
    <n v="96101.25"/>
    <n v="11787.020000000004"/>
    <x v="1"/>
  </r>
  <r>
    <s v="ORD1147"/>
    <n v="1005"/>
    <x v="119"/>
    <s v="Mar"/>
    <x v="69"/>
    <n v="47"/>
    <s v="Bangalore"/>
    <x v="2"/>
    <x v="3"/>
    <n v="12"/>
    <x v="2"/>
    <n v="253.29"/>
    <n v="683.78"/>
    <s v="New"/>
    <n v="0.25"/>
    <s v="Credit Card"/>
    <x v="0"/>
    <x v="0"/>
    <n v="6154.02"/>
    <n v="3039.48"/>
    <n v="3114.5400000000004"/>
    <x v="0"/>
  </r>
  <r>
    <s v="ORD1148"/>
    <n v="1090"/>
    <x v="109"/>
    <s v="Jun"/>
    <x v="107"/>
    <n v="48"/>
    <s v="Bangalore"/>
    <x v="3"/>
    <x v="1"/>
    <n v="41"/>
    <x v="2"/>
    <n v="3736.88"/>
    <n v="3946.77"/>
    <s v="Returning"/>
    <n v="0.06"/>
    <s v="Credit Card"/>
    <x v="1"/>
    <x v="0"/>
    <n v="152108.51579999999"/>
    <n v="153212.08000000002"/>
    <n v="-1103.5642000000225"/>
    <x v="0"/>
  </r>
  <r>
    <s v="ORD1149"/>
    <n v="1014"/>
    <x v="5"/>
    <s v="Feb"/>
    <x v="43"/>
    <n v="41"/>
    <s v="Chennai"/>
    <x v="0"/>
    <x v="2"/>
    <n v="44"/>
    <x v="1"/>
    <n v="2257.48"/>
    <n v="3747.81"/>
    <s v="Returning"/>
    <n v="0.27"/>
    <s v="Cash"/>
    <x v="0"/>
    <x v="2"/>
    <n v="120379.65719999999"/>
    <n v="99329.12"/>
    <n v="21050.537199999992"/>
    <x v="0"/>
  </r>
  <r>
    <s v="ORD1150"/>
    <n v="1027"/>
    <x v="120"/>
    <s v="Jan"/>
    <x v="108"/>
    <n v="26"/>
    <s v="Chennai"/>
    <x v="4"/>
    <x v="0"/>
    <n v="26"/>
    <x v="1"/>
    <n v="149.11000000000001"/>
    <n v="477.67"/>
    <s v="Returning"/>
    <n v="0.14000000000000001"/>
    <s v="Cash"/>
    <x v="0"/>
    <x v="2"/>
    <n v="10680.7012"/>
    <n v="3876.8600000000006"/>
    <n v="6803.8411999999989"/>
    <x v="1"/>
  </r>
  <r>
    <s v="ORD1151"/>
    <n v="1009"/>
    <x v="1"/>
    <s v="Apr"/>
    <x v="109"/>
    <n v="20"/>
    <s v="Delhi"/>
    <x v="4"/>
    <x v="0"/>
    <n v="47"/>
    <x v="2"/>
    <n v="359.41"/>
    <n v="733"/>
    <s v="Returning"/>
    <n v="0.2"/>
    <s v="Bank Transfer"/>
    <x v="1"/>
    <x v="0"/>
    <n v="27560.800000000003"/>
    <n v="16892.27"/>
    <n v="10668.530000000002"/>
    <x v="2"/>
  </r>
  <r>
    <s v="ORD1152"/>
    <n v="1079"/>
    <x v="121"/>
    <s v="Jun"/>
    <x v="110"/>
    <n v="48"/>
    <s v="Delhi"/>
    <x v="4"/>
    <x v="0"/>
    <n v="34"/>
    <x v="0"/>
    <n v="1967.96"/>
    <n v="1993.4"/>
    <s v="Returning"/>
    <n v="0.15"/>
    <s v="Credit Card"/>
    <x v="0"/>
    <x v="0"/>
    <n v="57609.26"/>
    <n v="66910.64"/>
    <n v="-9301.3799999999974"/>
    <x v="0"/>
  </r>
  <r>
    <s v="ORD1153"/>
    <n v="1015"/>
    <x v="15"/>
    <s v="Oct"/>
    <x v="39"/>
    <n v="57"/>
    <s v="Kolkata"/>
    <x v="4"/>
    <x v="1"/>
    <n v="23"/>
    <x v="1"/>
    <n v="2937.94"/>
    <n v="3007.53"/>
    <s v="Returning"/>
    <n v="0.03"/>
    <s v="Cash"/>
    <x v="0"/>
    <x v="0"/>
    <n v="67097.994300000006"/>
    <n v="67572.62"/>
    <n v="-474.62569999998959"/>
    <x v="0"/>
  </r>
  <r>
    <s v="ORD1154"/>
    <n v="1090"/>
    <x v="122"/>
    <s v="Aug"/>
    <x v="111"/>
    <n v="54"/>
    <s v="Chennai"/>
    <x v="2"/>
    <x v="3"/>
    <n v="31"/>
    <x v="2"/>
    <n v="2347.81"/>
    <n v="2668.02"/>
    <s v="Returning"/>
    <n v="0.09"/>
    <s v="Bank Transfer"/>
    <x v="1"/>
    <x v="0"/>
    <n v="75264.844199999992"/>
    <n v="72782.11"/>
    <n v="2482.7341999999917"/>
    <x v="0"/>
  </r>
  <r>
    <s v="ORD1155"/>
    <n v="1042"/>
    <x v="121"/>
    <s v="Jun"/>
    <x v="112"/>
    <n v="53"/>
    <s v="Mumbai"/>
    <x v="4"/>
    <x v="2"/>
    <n v="20"/>
    <x v="1"/>
    <n v="3115.06"/>
    <n v="3765.58"/>
    <s v="Returning"/>
    <n v="0.3"/>
    <s v="Credit Card"/>
    <x v="0"/>
    <x v="1"/>
    <n v="52718.12"/>
    <n v="62301.2"/>
    <n v="-9583.0799999999945"/>
    <x v="0"/>
  </r>
  <r>
    <s v="ORD1156"/>
    <n v="1077"/>
    <x v="61"/>
    <s v="Feb"/>
    <x v="113"/>
    <n v="41"/>
    <s v="Chennai"/>
    <x v="0"/>
    <x v="1"/>
    <n v="12"/>
    <x v="2"/>
    <n v="2427.46"/>
    <n v="2743.09"/>
    <s v="New"/>
    <n v="0.28999999999999998"/>
    <s v="Credit Card"/>
    <x v="1"/>
    <x v="1"/>
    <n v="23371.126800000002"/>
    <n v="29129.52"/>
    <n v="-5758.3931999999986"/>
    <x v="0"/>
  </r>
  <r>
    <s v="ORD1157"/>
    <n v="1051"/>
    <x v="123"/>
    <s v="Apr"/>
    <x v="82"/>
    <n v="48"/>
    <s v="Mumbai"/>
    <x v="1"/>
    <x v="3"/>
    <n v="23"/>
    <x v="3"/>
    <n v="3325.43"/>
    <n v="3401.1"/>
    <s v="New"/>
    <n v="0.1"/>
    <s v="Cash"/>
    <x v="1"/>
    <x v="0"/>
    <n v="70402.77"/>
    <n v="76484.89"/>
    <n v="-6082.1199999999953"/>
    <x v="0"/>
  </r>
  <r>
    <s v="ORD1158"/>
    <n v="1063"/>
    <x v="15"/>
    <s v="Oct"/>
    <x v="24"/>
    <n v="23"/>
    <s v="Bangalore"/>
    <x v="4"/>
    <x v="1"/>
    <n v="4"/>
    <x v="2"/>
    <n v="1134.67"/>
    <n v="1201.3900000000001"/>
    <s v="New"/>
    <n v="0.3"/>
    <s v="Bank Transfer"/>
    <x v="0"/>
    <x v="1"/>
    <n v="3363.8920000000003"/>
    <n v="4538.68"/>
    <n v="-1174.788"/>
    <x v="2"/>
  </r>
  <r>
    <s v="ORD1159"/>
    <n v="1096"/>
    <x v="124"/>
    <s v="Sep"/>
    <x v="41"/>
    <n v="19"/>
    <s v="Chennai"/>
    <x v="2"/>
    <x v="2"/>
    <n v="23"/>
    <x v="3"/>
    <n v="608.57000000000005"/>
    <n v="1032.22"/>
    <s v="New"/>
    <n v="0.25"/>
    <s v="Cash"/>
    <x v="0"/>
    <x v="2"/>
    <n v="17805.795000000002"/>
    <n v="13997.11"/>
    <n v="3808.6850000000013"/>
    <x v="2"/>
  </r>
  <r>
    <s v="ORD1160"/>
    <n v="1052"/>
    <x v="125"/>
    <s v="Jul"/>
    <x v="114"/>
    <n v="37"/>
    <s v="Bangalore"/>
    <x v="2"/>
    <x v="3"/>
    <n v="48"/>
    <x v="1"/>
    <n v="3002.35"/>
    <n v="4080.61"/>
    <s v="Returning"/>
    <n v="0.18"/>
    <s v="Bank Transfer"/>
    <x v="0"/>
    <x v="1"/>
    <n v="160612.80960000001"/>
    <n v="144112.79999999999"/>
    <n v="16500.009600000019"/>
    <x v="1"/>
  </r>
  <r>
    <s v="ORD1161"/>
    <n v="1096"/>
    <x v="126"/>
    <s v="Mar"/>
    <x v="115"/>
    <n v="45"/>
    <s v="Delhi"/>
    <x v="4"/>
    <x v="1"/>
    <n v="48"/>
    <x v="2"/>
    <n v="2449.21"/>
    <n v="2714.12"/>
    <s v="New"/>
    <n v="0.01"/>
    <s v="Credit Card"/>
    <x v="1"/>
    <x v="1"/>
    <n v="128974.98239999999"/>
    <n v="117562.08"/>
    <n v="11412.902399999992"/>
    <x v="0"/>
  </r>
  <r>
    <s v="ORD1162"/>
    <n v="1004"/>
    <x v="35"/>
    <s v="Nov"/>
    <x v="91"/>
    <n v="28"/>
    <s v="Delhi"/>
    <x v="1"/>
    <x v="2"/>
    <n v="1"/>
    <x v="1"/>
    <n v="182.99"/>
    <n v="211.18"/>
    <s v="Returning"/>
    <n v="0.27"/>
    <s v="Bank Transfer"/>
    <x v="0"/>
    <x v="0"/>
    <n v="154.16140000000001"/>
    <n v="182.99"/>
    <n v="-28.828599999999994"/>
    <x v="1"/>
  </r>
  <r>
    <s v="ORD1163"/>
    <n v="1094"/>
    <x v="69"/>
    <s v="Jan"/>
    <x v="89"/>
    <n v="21"/>
    <s v="Kolkata"/>
    <x v="4"/>
    <x v="0"/>
    <n v="25"/>
    <x v="3"/>
    <n v="1933.39"/>
    <n v="1982.92"/>
    <s v="New"/>
    <n v="0.17"/>
    <s v="Bank Transfer"/>
    <x v="1"/>
    <x v="1"/>
    <n v="41145.589999999997"/>
    <n v="48334.75"/>
    <n v="-7189.1600000000035"/>
    <x v="2"/>
  </r>
  <r>
    <s v="ORD1164"/>
    <n v="1023"/>
    <x v="99"/>
    <s v="Jan"/>
    <x v="116"/>
    <n v="32"/>
    <s v="Chennai"/>
    <x v="2"/>
    <x v="2"/>
    <n v="2"/>
    <x v="2"/>
    <n v="575.32000000000005"/>
    <n v="914.77"/>
    <s v="Returning"/>
    <n v="0.26"/>
    <s v="Bank Transfer"/>
    <x v="0"/>
    <x v="1"/>
    <n v="1353.8596"/>
    <n v="1150.6400000000001"/>
    <n v="203.2195999999999"/>
    <x v="1"/>
  </r>
  <r>
    <s v="ORD1165"/>
    <n v="1015"/>
    <x v="127"/>
    <s v="May"/>
    <x v="21"/>
    <n v="23"/>
    <s v="Bangalore"/>
    <x v="3"/>
    <x v="0"/>
    <n v="30"/>
    <x v="1"/>
    <n v="2680.22"/>
    <n v="4027.92"/>
    <s v="Returning"/>
    <n v="0.25"/>
    <s v="Bank Transfer"/>
    <x v="0"/>
    <x v="1"/>
    <n v="90628.200000000012"/>
    <n v="80406.599999999991"/>
    <n v="10221.60000000002"/>
    <x v="2"/>
  </r>
  <r>
    <s v="ORD1166"/>
    <n v="1043"/>
    <x v="128"/>
    <s v="Nov"/>
    <x v="51"/>
    <n v="47"/>
    <s v="Mumbai"/>
    <x v="0"/>
    <x v="1"/>
    <n v="3"/>
    <x v="3"/>
    <n v="2009.1"/>
    <n v="2186.42"/>
    <s v="New"/>
    <n v="0.25"/>
    <s v="Bank Transfer"/>
    <x v="0"/>
    <x v="1"/>
    <n v="4919.4449999999997"/>
    <n v="6027.2999999999993"/>
    <n v="-1107.8549999999996"/>
    <x v="0"/>
  </r>
  <r>
    <s v="ORD1167"/>
    <n v="1029"/>
    <x v="111"/>
    <s v="Dec"/>
    <x v="23"/>
    <n v="55"/>
    <s v="Delhi"/>
    <x v="2"/>
    <x v="3"/>
    <n v="21"/>
    <x v="1"/>
    <n v="3085.1"/>
    <n v="3800.75"/>
    <s v="New"/>
    <n v="0.21"/>
    <s v="Cash"/>
    <x v="1"/>
    <x v="2"/>
    <n v="63054.442500000005"/>
    <n v="64787.1"/>
    <n v="-1732.6574999999939"/>
    <x v="0"/>
  </r>
  <r>
    <s v="ORD1168"/>
    <n v="1036"/>
    <x v="40"/>
    <s v="Apr"/>
    <x v="107"/>
    <n v="19"/>
    <s v="Delhi"/>
    <x v="4"/>
    <x v="3"/>
    <n v="25"/>
    <x v="0"/>
    <n v="4037.73"/>
    <n v="4446.45"/>
    <s v="Returning"/>
    <n v="0.09"/>
    <s v="Bank Transfer"/>
    <x v="0"/>
    <x v="0"/>
    <n v="101156.7375"/>
    <n v="100943.25"/>
    <n v="213.48750000000291"/>
    <x v="2"/>
  </r>
  <r>
    <s v="ORD1169"/>
    <n v="1013"/>
    <x v="129"/>
    <s v="Oct"/>
    <x v="117"/>
    <n v="32"/>
    <s v="Mumbai"/>
    <x v="0"/>
    <x v="1"/>
    <n v="20"/>
    <x v="3"/>
    <n v="1533.36"/>
    <n v="1649.74"/>
    <s v="Returning"/>
    <n v="0.1"/>
    <s v="Bank Transfer"/>
    <x v="0"/>
    <x v="0"/>
    <n v="29695.320000000003"/>
    <n v="30667.199999999997"/>
    <n v="-971.87999999999374"/>
    <x v="1"/>
  </r>
  <r>
    <s v="ORD1170"/>
    <n v="1032"/>
    <x v="130"/>
    <s v="Jun"/>
    <x v="22"/>
    <n v="28"/>
    <s v="Bangalore"/>
    <x v="4"/>
    <x v="3"/>
    <n v="49"/>
    <x v="3"/>
    <n v="4812.41"/>
    <n v="5588"/>
    <s v="Returning"/>
    <n v="0.09"/>
    <s v="Credit Card"/>
    <x v="1"/>
    <x v="2"/>
    <n v="249168.92"/>
    <n v="235808.09"/>
    <n v="13360.830000000016"/>
    <x v="1"/>
  </r>
  <r>
    <s v="ORD1171"/>
    <n v="1071"/>
    <x v="131"/>
    <s v="Oct"/>
    <x v="10"/>
    <n v="25"/>
    <s v="Bangalore"/>
    <x v="4"/>
    <x v="3"/>
    <n v="22"/>
    <x v="3"/>
    <n v="2701.39"/>
    <n v="3185.81"/>
    <s v="New"/>
    <n v="0.01"/>
    <s v="Bank Transfer"/>
    <x v="1"/>
    <x v="1"/>
    <n v="69386.941799999986"/>
    <n v="59430.579999999994"/>
    <n v="9956.3617999999915"/>
    <x v="1"/>
  </r>
  <r>
    <s v="ORD1172"/>
    <n v="1059"/>
    <x v="132"/>
    <s v="Aug"/>
    <x v="118"/>
    <n v="43"/>
    <s v="Chennai"/>
    <x v="3"/>
    <x v="0"/>
    <n v="21"/>
    <x v="2"/>
    <n v="3110.54"/>
    <n v="3192.99"/>
    <s v="New"/>
    <n v="0.17"/>
    <s v="Credit Card"/>
    <x v="0"/>
    <x v="2"/>
    <n v="55653.815699999992"/>
    <n v="65321.34"/>
    <n v="-9667.5243000000046"/>
    <x v="0"/>
  </r>
  <r>
    <s v="ORD1173"/>
    <n v="1086"/>
    <x v="13"/>
    <s v="Dec"/>
    <x v="57"/>
    <n v="62"/>
    <s v="Chennai"/>
    <x v="0"/>
    <x v="1"/>
    <n v="33"/>
    <x v="2"/>
    <n v="3419.33"/>
    <n v="3890.36"/>
    <s v="Returning"/>
    <n v="0.21"/>
    <s v="Cash"/>
    <x v="0"/>
    <x v="1"/>
    <n v="101421.68520000001"/>
    <n v="112837.89"/>
    <n v="-11416.204799999992"/>
    <x v="0"/>
  </r>
  <r>
    <s v="ORD1174"/>
    <n v="1028"/>
    <x v="133"/>
    <s v="Aug"/>
    <x v="86"/>
    <n v="61"/>
    <s v="Kolkata"/>
    <x v="0"/>
    <x v="2"/>
    <n v="38"/>
    <x v="2"/>
    <n v="3350.32"/>
    <n v="5449.94"/>
    <s v="New"/>
    <n v="0.26"/>
    <s v="Cash"/>
    <x v="0"/>
    <x v="2"/>
    <n v="153252.31279999999"/>
    <n v="127312.16"/>
    <n v="25940.152799999982"/>
    <x v="0"/>
  </r>
  <r>
    <s v="ORD1175"/>
    <n v="1066"/>
    <x v="134"/>
    <s v="Jul"/>
    <x v="119"/>
    <n v="22"/>
    <s v="Delhi"/>
    <x v="3"/>
    <x v="0"/>
    <n v="15"/>
    <x v="0"/>
    <n v="2579.31"/>
    <n v="2867.36"/>
    <s v="Returning"/>
    <n v="0.04"/>
    <s v="Bank Transfer"/>
    <x v="1"/>
    <x v="0"/>
    <n v="41289.983999999997"/>
    <n v="38689.65"/>
    <n v="2600.3339999999953"/>
    <x v="2"/>
  </r>
  <r>
    <s v="ORD1176"/>
    <n v="1042"/>
    <x v="120"/>
    <s v="Jan"/>
    <x v="102"/>
    <n v="23"/>
    <s v="Chennai"/>
    <x v="2"/>
    <x v="1"/>
    <n v="46"/>
    <x v="0"/>
    <n v="2172.38"/>
    <n v="2367.11"/>
    <s v="New"/>
    <n v="0.16"/>
    <s v="Cash"/>
    <x v="1"/>
    <x v="0"/>
    <n v="91465.130400000009"/>
    <n v="99929.48000000001"/>
    <n v="-8464.3496000000014"/>
    <x v="2"/>
  </r>
  <r>
    <s v="ORD1177"/>
    <n v="1045"/>
    <x v="121"/>
    <s v="Jun"/>
    <x v="0"/>
    <n v="43"/>
    <s v="Bangalore"/>
    <x v="4"/>
    <x v="0"/>
    <n v="15"/>
    <x v="3"/>
    <n v="316.22000000000003"/>
    <n v="799.04"/>
    <s v="New"/>
    <n v="0"/>
    <s v="Bank Transfer"/>
    <x v="1"/>
    <x v="0"/>
    <n v="11985.599999999999"/>
    <n v="4743.3"/>
    <n v="7242.2999999999984"/>
    <x v="0"/>
  </r>
  <r>
    <s v="ORD1178"/>
    <n v="1062"/>
    <x v="135"/>
    <s v="May"/>
    <x v="120"/>
    <n v="21"/>
    <s v="Mumbai"/>
    <x v="1"/>
    <x v="2"/>
    <n v="46"/>
    <x v="0"/>
    <n v="159.32"/>
    <n v="303.36"/>
    <s v="New"/>
    <n v="0.03"/>
    <s v="Cash"/>
    <x v="1"/>
    <x v="1"/>
    <n v="13535.923200000001"/>
    <n v="7328.7199999999993"/>
    <n v="6207.2032000000017"/>
    <x v="2"/>
  </r>
  <r>
    <s v="ORD1179"/>
    <n v="1057"/>
    <x v="70"/>
    <s v="Sep"/>
    <x v="121"/>
    <n v="36"/>
    <s v="Bangalore"/>
    <x v="4"/>
    <x v="2"/>
    <n v="25"/>
    <x v="1"/>
    <n v="1821.91"/>
    <n v="2027.74"/>
    <s v="New"/>
    <n v="0.02"/>
    <s v="Bank Transfer"/>
    <x v="0"/>
    <x v="1"/>
    <n v="49679.63"/>
    <n v="45547.75"/>
    <n v="4131.8799999999974"/>
    <x v="1"/>
  </r>
  <r>
    <s v="ORD1180"/>
    <n v="1006"/>
    <x v="121"/>
    <s v="Jun"/>
    <x v="122"/>
    <n v="37"/>
    <s v="Delhi"/>
    <x v="4"/>
    <x v="1"/>
    <n v="21"/>
    <x v="3"/>
    <n v="1701.62"/>
    <n v="2193.2199999999998"/>
    <s v="New"/>
    <n v="0.22"/>
    <s v="Bank Transfer"/>
    <x v="1"/>
    <x v="2"/>
    <n v="35924.943599999999"/>
    <n v="35734.019999999997"/>
    <n v="190.9236000000019"/>
    <x v="1"/>
  </r>
  <r>
    <s v="ORD1181"/>
    <n v="1028"/>
    <x v="57"/>
    <s v="Feb"/>
    <x v="105"/>
    <n v="50"/>
    <s v="Bangalore"/>
    <x v="2"/>
    <x v="2"/>
    <n v="24"/>
    <x v="3"/>
    <n v="1969.09"/>
    <n v="2241.96"/>
    <s v="Returning"/>
    <n v="0.02"/>
    <s v="Credit Card"/>
    <x v="1"/>
    <x v="2"/>
    <n v="52730.8992"/>
    <n v="47258.159999999996"/>
    <n v="5472.7392000000036"/>
    <x v="0"/>
  </r>
  <r>
    <s v="ORD1182"/>
    <n v="1028"/>
    <x v="50"/>
    <s v="Nov"/>
    <x v="65"/>
    <n v="37"/>
    <s v="Kolkata"/>
    <x v="4"/>
    <x v="0"/>
    <n v="5"/>
    <x v="1"/>
    <n v="734.92"/>
    <n v="991.21"/>
    <s v="Returning"/>
    <n v="0.21"/>
    <s v="Credit Card"/>
    <x v="1"/>
    <x v="0"/>
    <n v="3915.2795000000001"/>
    <n v="3674.6"/>
    <n v="240.67950000000019"/>
    <x v="1"/>
  </r>
  <r>
    <s v="ORD1183"/>
    <n v="1044"/>
    <x v="136"/>
    <s v="Nov"/>
    <x v="107"/>
    <n v="29"/>
    <s v="Delhi"/>
    <x v="3"/>
    <x v="2"/>
    <n v="6"/>
    <x v="3"/>
    <n v="3703.93"/>
    <n v="3840.24"/>
    <s v="New"/>
    <n v="7.0000000000000007E-2"/>
    <s v="Credit Card"/>
    <x v="0"/>
    <x v="1"/>
    <n v="21428.539199999996"/>
    <n v="22223.579999999998"/>
    <n v="-795.04080000000249"/>
    <x v="1"/>
  </r>
  <r>
    <s v="ORD1184"/>
    <n v="1084"/>
    <x v="46"/>
    <s v="Jun"/>
    <x v="18"/>
    <n v="64"/>
    <s v="Mumbai"/>
    <x v="3"/>
    <x v="0"/>
    <n v="49"/>
    <x v="0"/>
    <n v="4291.97"/>
    <n v="6745.64"/>
    <s v="Returning"/>
    <n v="0.26"/>
    <s v="Credit Card"/>
    <x v="0"/>
    <x v="2"/>
    <n v="244596.90640000004"/>
    <n v="210306.53"/>
    <n v="34290.376400000037"/>
    <x v="0"/>
  </r>
  <r>
    <s v="ORD1185"/>
    <n v="1030"/>
    <x v="75"/>
    <s v="May"/>
    <x v="48"/>
    <n v="18"/>
    <s v="Kolkata"/>
    <x v="0"/>
    <x v="0"/>
    <n v="43"/>
    <x v="2"/>
    <n v="4696.6400000000003"/>
    <n v="5613.68"/>
    <s v="Returning"/>
    <n v="0.15"/>
    <s v="Bank Transfer"/>
    <x v="1"/>
    <x v="1"/>
    <n v="205180.00400000002"/>
    <n v="201955.52000000002"/>
    <n v="3224.4839999999967"/>
    <x v="2"/>
  </r>
  <r>
    <s v="ORD1186"/>
    <n v="1062"/>
    <x v="25"/>
    <s v="Apr"/>
    <x v="97"/>
    <n v="43"/>
    <s v="Delhi"/>
    <x v="1"/>
    <x v="2"/>
    <n v="48"/>
    <x v="1"/>
    <n v="2487.19"/>
    <n v="3321.45"/>
    <s v="New"/>
    <n v="0.28999999999999998"/>
    <s v="Cash"/>
    <x v="1"/>
    <x v="1"/>
    <n v="113195.01599999997"/>
    <n v="119385.12"/>
    <n v="-6190.1040000000212"/>
    <x v="0"/>
  </r>
  <r>
    <s v="ORD1187"/>
    <n v="1075"/>
    <x v="137"/>
    <s v="Apr"/>
    <x v="18"/>
    <n v="31"/>
    <s v="Mumbai"/>
    <x v="4"/>
    <x v="1"/>
    <n v="44"/>
    <x v="0"/>
    <n v="3519.29"/>
    <n v="4822.9799999999996"/>
    <s v="Returning"/>
    <n v="0.27"/>
    <s v="Bank Transfer"/>
    <x v="0"/>
    <x v="0"/>
    <n v="154914.1176"/>
    <n v="154848.76"/>
    <n v="65.357599999988452"/>
    <x v="1"/>
  </r>
  <r>
    <s v="ORD1188"/>
    <n v="1092"/>
    <x v="30"/>
    <s v="Aug"/>
    <x v="61"/>
    <n v="55"/>
    <s v="Kolkata"/>
    <x v="4"/>
    <x v="3"/>
    <n v="47"/>
    <x v="1"/>
    <n v="4284.9799999999996"/>
    <n v="5862.4"/>
    <s v="New"/>
    <n v="0.28000000000000003"/>
    <s v="Credit Card"/>
    <x v="0"/>
    <x v="0"/>
    <n v="198383.61599999998"/>
    <n v="201394.05999999997"/>
    <n v="-3010.4439999999886"/>
    <x v="0"/>
  </r>
  <r>
    <s v="ORD1189"/>
    <n v="1089"/>
    <x v="138"/>
    <s v="Oct"/>
    <x v="123"/>
    <n v="54"/>
    <s v="Kolkata"/>
    <x v="2"/>
    <x v="2"/>
    <n v="23"/>
    <x v="1"/>
    <n v="2120.54"/>
    <n v="2597.67"/>
    <s v="Returning"/>
    <n v="0.26"/>
    <s v="Credit Card"/>
    <x v="0"/>
    <x v="1"/>
    <n v="44212.343400000005"/>
    <n v="48772.42"/>
    <n v="-4560.0765999999931"/>
    <x v="0"/>
  </r>
  <r>
    <s v="ORD1190"/>
    <n v="1062"/>
    <x v="9"/>
    <s v="Oct"/>
    <x v="41"/>
    <n v="28"/>
    <s v="Delhi"/>
    <x v="3"/>
    <x v="0"/>
    <n v="4"/>
    <x v="3"/>
    <n v="1581.59"/>
    <n v="2034.15"/>
    <s v="Returning"/>
    <n v="0.21"/>
    <s v="Cash"/>
    <x v="0"/>
    <x v="1"/>
    <n v="6427.9140000000007"/>
    <n v="6326.36"/>
    <n v="101.554000000001"/>
    <x v="1"/>
  </r>
  <r>
    <s v="ORD1191"/>
    <n v="1097"/>
    <x v="139"/>
    <s v="Oct"/>
    <x v="44"/>
    <n v="53"/>
    <s v="Chennai"/>
    <x v="1"/>
    <x v="0"/>
    <n v="27"/>
    <x v="3"/>
    <n v="4686.79"/>
    <n v="5046.51"/>
    <s v="Returning"/>
    <n v="0.05"/>
    <s v="Credit Card"/>
    <x v="0"/>
    <x v="1"/>
    <n v="129442.98150000001"/>
    <n v="126543.33"/>
    <n v="2899.6515000000072"/>
    <x v="0"/>
  </r>
  <r>
    <s v="ORD1192"/>
    <n v="1001"/>
    <x v="140"/>
    <s v="Oct"/>
    <x v="97"/>
    <n v="30"/>
    <s v="Kolkata"/>
    <x v="0"/>
    <x v="2"/>
    <n v="18"/>
    <x v="0"/>
    <n v="2602.6"/>
    <n v="3013.49"/>
    <s v="Returning"/>
    <n v="0.08"/>
    <s v="Bank Transfer"/>
    <x v="0"/>
    <x v="1"/>
    <n v="49903.394399999997"/>
    <n v="46846.799999999996"/>
    <n v="3056.5944000000018"/>
    <x v="1"/>
  </r>
  <r>
    <s v="ORD1193"/>
    <n v="1027"/>
    <x v="83"/>
    <s v="Mar"/>
    <x v="7"/>
    <n v="60"/>
    <s v="Kolkata"/>
    <x v="3"/>
    <x v="1"/>
    <n v="21"/>
    <x v="1"/>
    <n v="2511.41"/>
    <n v="2848.4"/>
    <s v="Returning"/>
    <n v="0.06"/>
    <s v="Bank Transfer"/>
    <x v="0"/>
    <x v="0"/>
    <n v="56227.415999999997"/>
    <n v="52739.61"/>
    <n v="3487.8059999999969"/>
    <x v="0"/>
  </r>
  <r>
    <s v="ORD1194"/>
    <n v="1062"/>
    <x v="141"/>
    <s v="May"/>
    <x v="110"/>
    <n v="20"/>
    <s v="Mumbai"/>
    <x v="0"/>
    <x v="1"/>
    <n v="28"/>
    <x v="3"/>
    <n v="933.16"/>
    <n v="1004.7"/>
    <s v="Returning"/>
    <n v="0.18"/>
    <s v="Bank Transfer"/>
    <x v="0"/>
    <x v="2"/>
    <n v="23067.912000000004"/>
    <n v="26128.48"/>
    <n v="-3060.5679999999957"/>
    <x v="2"/>
  </r>
  <r>
    <s v="ORD1195"/>
    <n v="1077"/>
    <x v="142"/>
    <s v="Jan"/>
    <x v="64"/>
    <n v="50"/>
    <s v="Bangalore"/>
    <x v="2"/>
    <x v="0"/>
    <n v="35"/>
    <x v="3"/>
    <n v="585.37"/>
    <n v="970.49"/>
    <s v="Returning"/>
    <n v="0.15"/>
    <s v="Bank Transfer"/>
    <x v="1"/>
    <x v="0"/>
    <n v="28872.077499999999"/>
    <n v="20487.95"/>
    <n v="8384.1274999999987"/>
    <x v="0"/>
  </r>
  <r>
    <s v="ORD1196"/>
    <n v="1003"/>
    <x v="124"/>
    <s v="Sep"/>
    <x v="101"/>
    <n v="23"/>
    <s v="Delhi"/>
    <x v="2"/>
    <x v="0"/>
    <n v="22"/>
    <x v="1"/>
    <n v="4218.43"/>
    <n v="5331.42"/>
    <s v="New"/>
    <n v="0.26"/>
    <s v="Bank Transfer"/>
    <x v="1"/>
    <x v="2"/>
    <n v="86795.517600000006"/>
    <n v="92805.46"/>
    <n v="-6009.9423999999999"/>
    <x v="2"/>
  </r>
  <r>
    <s v="ORD1197"/>
    <n v="1070"/>
    <x v="128"/>
    <s v="Nov"/>
    <x v="124"/>
    <n v="27"/>
    <s v="Delhi"/>
    <x v="4"/>
    <x v="1"/>
    <n v="40"/>
    <x v="0"/>
    <n v="3089.96"/>
    <n v="4058.45"/>
    <s v="New"/>
    <n v="0.28999999999999998"/>
    <s v="Cash"/>
    <x v="1"/>
    <x v="1"/>
    <n v="115259.98"/>
    <n v="123598.39999999999"/>
    <n v="-8338.4199999999983"/>
    <x v="1"/>
  </r>
  <r>
    <s v="ORD1198"/>
    <n v="1072"/>
    <x v="143"/>
    <s v="Dec"/>
    <x v="116"/>
    <n v="22"/>
    <s v="Chennai"/>
    <x v="1"/>
    <x v="3"/>
    <n v="23"/>
    <x v="0"/>
    <n v="1662.83"/>
    <n v="2074.25"/>
    <s v="New"/>
    <n v="0.12"/>
    <s v="Bank Transfer"/>
    <x v="1"/>
    <x v="2"/>
    <n v="41982.82"/>
    <n v="38245.089999999997"/>
    <n v="3737.7300000000032"/>
    <x v="2"/>
  </r>
  <r>
    <s v="ORD1199"/>
    <n v="1027"/>
    <x v="61"/>
    <s v="Feb"/>
    <x v="29"/>
    <n v="40"/>
    <s v="Chennai"/>
    <x v="0"/>
    <x v="2"/>
    <n v="3"/>
    <x v="1"/>
    <n v="999.09"/>
    <n v="1271.99"/>
    <s v="New"/>
    <n v="0.15"/>
    <s v="Credit Card"/>
    <x v="1"/>
    <x v="0"/>
    <n v="3243.5745000000002"/>
    <n v="2997.27"/>
    <n v="246.30450000000019"/>
    <x v="1"/>
  </r>
  <r>
    <s v="ORD1200"/>
    <n v="1009"/>
    <x v="39"/>
    <s v="May"/>
    <x v="29"/>
    <n v="27"/>
    <s v="Delhi"/>
    <x v="3"/>
    <x v="0"/>
    <n v="40"/>
    <x v="0"/>
    <n v="2799.71"/>
    <n v="4231.08"/>
    <s v="Returning"/>
    <n v="0.28999999999999998"/>
    <s v="Credit Card"/>
    <x v="1"/>
    <x v="0"/>
    <n v="120162.67200000001"/>
    <n v="111988.4"/>
    <n v="8174.2720000000118"/>
    <x v="1"/>
  </r>
  <r>
    <s v="ORD1201"/>
    <n v="1062"/>
    <x v="144"/>
    <s v="Jul"/>
    <x v="47"/>
    <n v="61"/>
    <s v="Chennai"/>
    <x v="2"/>
    <x v="0"/>
    <n v="10"/>
    <x v="3"/>
    <n v="2940.4"/>
    <n v="3054.79"/>
    <s v="Returning"/>
    <n v="0.08"/>
    <s v="Credit Card"/>
    <x v="0"/>
    <x v="1"/>
    <n v="28104.068000000003"/>
    <n v="29404"/>
    <n v="-1299.9319999999971"/>
    <x v="0"/>
  </r>
  <r>
    <s v="ORD1202"/>
    <n v="1037"/>
    <x v="112"/>
    <s v="Jan"/>
    <x v="125"/>
    <n v="19"/>
    <s v="Mumbai"/>
    <x v="4"/>
    <x v="1"/>
    <n v="25"/>
    <x v="1"/>
    <n v="1074.6199999999999"/>
    <n v="1382.43"/>
    <s v="Returning"/>
    <n v="0.24"/>
    <s v="Credit Card"/>
    <x v="0"/>
    <x v="0"/>
    <n v="26266.170000000002"/>
    <n v="26865.499999999996"/>
    <n v="-599.32999999999447"/>
    <x v="2"/>
  </r>
  <r>
    <s v="ORD1203"/>
    <n v="1097"/>
    <x v="131"/>
    <s v="Oct"/>
    <x v="58"/>
    <n v="30"/>
    <s v="Delhi"/>
    <x v="4"/>
    <x v="2"/>
    <n v="49"/>
    <x v="3"/>
    <n v="4264.46"/>
    <n v="4315.5200000000004"/>
    <s v="New"/>
    <n v="7.0000000000000007E-2"/>
    <s v="Cash"/>
    <x v="1"/>
    <x v="1"/>
    <n v="196658.2464"/>
    <n v="208958.54"/>
    <n v="-12300.293600000005"/>
    <x v="1"/>
  </r>
  <r>
    <s v="ORD1204"/>
    <n v="1051"/>
    <x v="145"/>
    <s v="Dec"/>
    <x v="51"/>
    <n v="57"/>
    <s v="Chennai"/>
    <x v="0"/>
    <x v="1"/>
    <n v="8"/>
    <x v="2"/>
    <n v="467.11"/>
    <n v="792.21"/>
    <s v="New"/>
    <n v="0.2"/>
    <s v="Credit Card"/>
    <x v="1"/>
    <x v="0"/>
    <n v="5070.1440000000002"/>
    <n v="3736.88"/>
    <n v="1333.2640000000001"/>
    <x v="0"/>
  </r>
  <r>
    <s v="ORD1205"/>
    <n v="1044"/>
    <x v="146"/>
    <s v="Oct"/>
    <x v="106"/>
    <n v="19"/>
    <s v="Delhi"/>
    <x v="2"/>
    <x v="2"/>
    <n v="11"/>
    <x v="2"/>
    <n v="1812.66"/>
    <n v="2196.3000000000002"/>
    <s v="New"/>
    <n v="0.08"/>
    <s v="Cash"/>
    <x v="0"/>
    <x v="0"/>
    <n v="22226.556000000004"/>
    <n v="19939.260000000002"/>
    <n v="2287.2960000000021"/>
    <x v="2"/>
  </r>
  <r>
    <s v="ORD1206"/>
    <n v="1024"/>
    <x v="147"/>
    <s v="Dec"/>
    <x v="87"/>
    <n v="37"/>
    <s v="Bangalore"/>
    <x v="1"/>
    <x v="2"/>
    <n v="5"/>
    <x v="0"/>
    <n v="3417.9"/>
    <n v="3714.52"/>
    <s v="Returning"/>
    <n v="0.27"/>
    <s v="Credit Card"/>
    <x v="0"/>
    <x v="1"/>
    <n v="13557.997999999998"/>
    <n v="17089.5"/>
    <n v="-3531.5020000000022"/>
    <x v="1"/>
  </r>
  <r>
    <s v="ORD1207"/>
    <n v="1079"/>
    <x v="148"/>
    <s v="Aug"/>
    <x v="126"/>
    <n v="18"/>
    <s v="Kolkata"/>
    <x v="2"/>
    <x v="2"/>
    <n v="45"/>
    <x v="2"/>
    <n v="1406.9"/>
    <n v="1547.35"/>
    <s v="New"/>
    <n v="0.17"/>
    <s v="Cash"/>
    <x v="0"/>
    <x v="2"/>
    <n v="57793.522499999999"/>
    <n v="63310.500000000007"/>
    <n v="-5516.9775000000081"/>
    <x v="2"/>
  </r>
  <r>
    <s v="ORD1208"/>
    <n v="1059"/>
    <x v="149"/>
    <s v="May"/>
    <x v="127"/>
    <n v="54"/>
    <s v="Delhi"/>
    <x v="0"/>
    <x v="0"/>
    <n v="37"/>
    <x v="3"/>
    <n v="4146.99"/>
    <n v="4172.3500000000004"/>
    <s v="Returning"/>
    <n v="0.06"/>
    <s v="Cash"/>
    <x v="1"/>
    <x v="0"/>
    <n v="145114.33300000001"/>
    <n v="153438.63"/>
    <n v="-8324.2969999999914"/>
    <x v="0"/>
  </r>
  <r>
    <s v="ORD1209"/>
    <n v="1032"/>
    <x v="106"/>
    <s v="Apr"/>
    <x v="103"/>
    <n v="26"/>
    <s v="Kolkata"/>
    <x v="0"/>
    <x v="3"/>
    <n v="45"/>
    <x v="2"/>
    <n v="3712.35"/>
    <n v="3780.88"/>
    <s v="New"/>
    <n v="7.0000000000000007E-2"/>
    <s v="Cash"/>
    <x v="0"/>
    <x v="2"/>
    <n v="158229.82800000001"/>
    <n v="167055.75"/>
    <n v="-8825.9219999999914"/>
    <x v="1"/>
  </r>
  <r>
    <s v="ORD1210"/>
    <n v="1096"/>
    <x v="150"/>
    <s v="Jul"/>
    <x v="10"/>
    <n v="34"/>
    <s v="Chennai"/>
    <x v="2"/>
    <x v="1"/>
    <n v="38"/>
    <x v="3"/>
    <n v="3955.66"/>
    <n v="4270.59"/>
    <s v="Returning"/>
    <n v="0.15"/>
    <s v="Credit Card"/>
    <x v="1"/>
    <x v="0"/>
    <n v="137940.057"/>
    <n v="150315.07999999999"/>
    <n v="-12375.022999999986"/>
    <x v="1"/>
  </r>
  <r>
    <s v="ORD1211"/>
    <n v="1088"/>
    <x v="1"/>
    <s v="Apr"/>
    <x v="128"/>
    <n v="26"/>
    <s v="Kolkata"/>
    <x v="0"/>
    <x v="3"/>
    <n v="29"/>
    <x v="0"/>
    <n v="639.58000000000004"/>
    <n v="1107.45"/>
    <s v="New"/>
    <n v="0.28999999999999998"/>
    <s v="Cash"/>
    <x v="1"/>
    <x v="0"/>
    <n v="22802.395500000002"/>
    <n v="18547.82"/>
    <n v="4254.5755000000026"/>
    <x v="1"/>
  </r>
  <r>
    <s v="ORD1212"/>
    <n v="1052"/>
    <x v="106"/>
    <s v="Apr"/>
    <x v="98"/>
    <n v="28"/>
    <s v="Delhi"/>
    <x v="2"/>
    <x v="1"/>
    <n v="5"/>
    <x v="0"/>
    <n v="745.71"/>
    <n v="856.91"/>
    <s v="Returning"/>
    <n v="0.23"/>
    <s v="Bank Transfer"/>
    <x v="0"/>
    <x v="0"/>
    <n v="3299.1035000000002"/>
    <n v="3728.55"/>
    <n v="-429.44650000000001"/>
    <x v="1"/>
  </r>
  <r>
    <s v="ORD1213"/>
    <n v="1062"/>
    <x v="94"/>
    <s v="Nov"/>
    <x v="79"/>
    <n v="32"/>
    <s v="Bangalore"/>
    <x v="3"/>
    <x v="2"/>
    <n v="9"/>
    <x v="3"/>
    <n v="1468.05"/>
    <n v="1838.21"/>
    <s v="New"/>
    <n v="0.15"/>
    <s v="Bank Transfer"/>
    <x v="0"/>
    <x v="0"/>
    <n v="14062.306499999999"/>
    <n v="13212.449999999999"/>
    <n v="849.85649999999987"/>
    <x v="1"/>
  </r>
  <r>
    <s v="ORD1214"/>
    <n v="1058"/>
    <x v="151"/>
    <s v="Jun"/>
    <x v="129"/>
    <n v="41"/>
    <s v="Chennai"/>
    <x v="2"/>
    <x v="0"/>
    <n v="48"/>
    <x v="2"/>
    <n v="2614.48"/>
    <n v="3049.04"/>
    <s v="New"/>
    <n v="0.1"/>
    <s v="Credit Card"/>
    <x v="1"/>
    <x v="2"/>
    <n v="131718.52799999999"/>
    <n v="125495.04000000001"/>
    <n v="6223.487999999983"/>
    <x v="0"/>
  </r>
  <r>
    <s v="ORD1215"/>
    <n v="1052"/>
    <x v="64"/>
    <s v="Dec"/>
    <x v="130"/>
    <n v="55"/>
    <s v="Delhi"/>
    <x v="2"/>
    <x v="3"/>
    <n v="2"/>
    <x v="0"/>
    <n v="3752.68"/>
    <n v="4017.91"/>
    <s v="Returning"/>
    <n v="0.16"/>
    <s v="Bank Transfer"/>
    <x v="0"/>
    <x v="2"/>
    <n v="6750.0887999999995"/>
    <n v="7505.36"/>
    <n v="-755.27120000000014"/>
    <x v="0"/>
  </r>
  <r>
    <s v="ORD1216"/>
    <n v="1012"/>
    <x v="50"/>
    <s v="Nov"/>
    <x v="34"/>
    <n v="52"/>
    <s v="Chennai"/>
    <x v="0"/>
    <x v="0"/>
    <n v="1"/>
    <x v="1"/>
    <n v="4190.83"/>
    <n v="4528.7700000000004"/>
    <s v="Returning"/>
    <n v="0.22"/>
    <s v="Bank Transfer"/>
    <x v="0"/>
    <x v="0"/>
    <n v="3532.4406000000004"/>
    <n v="4190.83"/>
    <n v="-658.38939999999957"/>
    <x v="0"/>
  </r>
  <r>
    <s v="ORD1217"/>
    <n v="1039"/>
    <x v="48"/>
    <s v="May"/>
    <x v="46"/>
    <n v="47"/>
    <s v="Mumbai"/>
    <x v="0"/>
    <x v="1"/>
    <n v="40"/>
    <x v="0"/>
    <n v="3536.46"/>
    <n v="3945.82"/>
    <s v="New"/>
    <n v="0.12"/>
    <s v="Bank Transfer"/>
    <x v="1"/>
    <x v="0"/>
    <n v="138892.86400000003"/>
    <n v="141458.4"/>
    <n v="-2565.5359999999637"/>
    <x v="0"/>
  </r>
  <r>
    <s v="ORD1218"/>
    <n v="1002"/>
    <x v="62"/>
    <s v="Oct"/>
    <x v="131"/>
    <n v="48"/>
    <s v="Kolkata"/>
    <x v="4"/>
    <x v="0"/>
    <n v="30"/>
    <x v="2"/>
    <n v="4646.55"/>
    <n v="5384.28"/>
    <s v="Returning"/>
    <n v="0.1"/>
    <s v="Credit Card"/>
    <x v="0"/>
    <x v="2"/>
    <n v="145375.56"/>
    <n v="139396.5"/>
    <n v="5979.0599999999977"/>
    <x v="0"/>
  </r>
  <r>
    <s v="ORD1219"/>
    <n v="1003"/>
    <x v="90"/>
    <s v="Nov"/>
    <x v="46"/>
    <n v="22"/>
    <s v="Mumbai"/>
    <x v="4"/>
    <x v="0"/>
    <n v="11"/>
    <x v="1"/>
    <n v="3706.78"/>
    <n v="3862.26"/>
    <s v="New"/>
    <n v="0.22"/>
    <s v="Credit Card"/>
    <x v="1"/>
    <x v="1"/>
    <n v="33138.190800000004"/>
    <n v="40774.58"/>
    <n v="-7636.3891999999978"/>
    <x v="2"/>
  </r>
  <r>
    <s v="ORD1220"/>
    <n v="1056"/>
    <x v="152"/>
    <s v="May"/>
    <x v="51"/>
    <n v="61"/>
    <s v="Delhi"/>
    <x v="3"/>
    <x v="3"/>
    <n v="28"/>
    <x v="2"/>
    <n v="1566.03"/>
    <n v="1576.34"/>
    <s v="Returning"/>
    <n v="0.2"/>
    <s v="Bank Transfer"/>
    <x v="1"/>
    <x v="1"/>
    <n v="35310.015999999996"/>
    <n v="43848.84"/>
    <n v="-8538.8240000000005"/>
    <x v="0"/>
  </r>
  <r>
    <s v="ORD1221"/>
    <n v="1081"/>
    <x v="153"/>
    <s v="Apr"/>
    <x v="132"/>
    <n v="31"/>
    <s v="Bangalore"/>
    <x v="4"/>
    <x v="2"/>
    <n v="44"/>
    <x v="3"/>
    <n v="1362.15"/>
    <n v="1844.07"/>
    <s v="New"/>
    <n v="0.28999999999999998"/>
    <s v="Credit Card"/>
    <x v="0"/>
    <x v="2"/>
    <n v="57608.746800000001"/>
    <n v="59934.600000000006"/>
    <n v="-2325.853200000005"/>
    <x v="1"/>
  </r>
  <r>
    <s v="ORD1222"/>
    <n v="1059"/>
    <x v="154"/>
    <s v="Apr"/>
    <x v="133"/>
    <n v="28"/>
    <s v="Chennai"/>
    <x v="2"/>
    <x v="0"/>
    <n v="12"/>
    <x v="1"/>
    <n v="3496.15"/>
    <n v="3955.75"/>
    <s v="Returning"/>
    <n v="0.28000000000000003"/>
    <s v="Cash"/>
    <x v="1"/>
    <x v="0"/>
    <n v="34177.68"/>
    <n v="41953.8"/>
    <n v="-7776.1200000000026"/>
    <x v="1"/>
  </r>
  <r>
    <s v="ORD1223"/>
    <n v="1002"/>
    <x v="155"/>
    <s v="Oct"/>
    <x v="134"/>
    <n v="26"/>
    <s v="Kolkata"/>
    <x v="0"/>
    <x v="2"/>
    <n v="39"/>
    <x v="2"/>
    <n v="1004.71"/>
    <n v="1389.35"/>
    <s v="New"/>
    <n v="0.24"/>
    <s v="Bank Transfer"/>
    <x v="1"/>
    <x v="0"/>
    <n v="41180.333999999995"/>
    <n v="39183.69"/>
    <n v="1996.643999999993"/>
    <x v="1"/>
  </r>
  <r>
    <s v="ORD1224"/>
    <n v="1002"/>
    <x v="156"/>
    <s v="Feb"/>
    <x v="125"/>
    <n v="51"/>
    <s v="Chennai"/>
    <x v="4"/>
    <x v="1"/>
    <n v="26"/>
    <x v="1"/>
    <n v="508.94"/>
    <n v="557.69000000000005"/>
    <s v="New"/>
    <n v="0.22"/>
    <s v="Credit Card"/>
    <x v="0"/>
    <x v="1"/>
    <n v="11309.953200000002"/>
    <n v="13232.44"/>
    <n v="-1922.4867999999988"/>
    <x v="0"/>
  </r>
  <r>
    <s v="ORD1225"/>
    <n v="1092"/>
    <x v="157"/>
    <s v="Jan"/>
    <x v="61"/>
    <n v="29"/>
    <s v="Delhi"/>
    <x v="4"/>
    <x v="0"/>
    <n v="13"/>
    <x v="2"/>
    <n v="2684.5"/>
    <n v="2913.78"/>
    <s v="New"/>
    <n v="0.08"/>
    <s v="Credit Card"/>
    <x v="0"/>
    <x v="1"/>
    <n v="34848.808799999999"/>
    <n v="34898.5"/>
    <n v="-49.691200000001118"/>
    <x v="1"/>
  </r>
  <r>
    <s v="ORD1226"/>
    <n v="1054"/>
    <x v="87"/>
    <s v="Oct"/>
    <x v="105"/>
    <n v="52"/>
    <s v="Chennai"/>
    <x v="3"/>
    <x v="3"/>
    <n v="8"/>
    <x v="1"/>
    <n v="4117.13"/>
    <n v="4177.0600000000004"/>
    <s v="Returning"/>
    <n v="0.25"/>
    <s v="Bank Transfer"/>
    <x v="0"/>
    <x v="2"/>
    <n v="25062.36"/>
    <n v="32937.040000000001"/>
    <n v="-7874.68"/>
    <x v="0"/>
  </r>
  <r>
    <s v="ORD1227"/>
    <n v="1087"/>
    <x v="158"/>
    <s v="Oct"/>
    <x v="45"/>
    <n v="52"/>
    <s v="Kolkata"/>
    <x v="3"/>
    <x v="1"/>
    <n v="28"/>
    <x v="2"/>
    <n v="551.83000000000004"/>
    <n v="569.63"/>
    <s v="New"/>
    <n v="0.13"/>
    <s v="Credit Card"/>
    <x v="1"/>
    <x v="1"/>
    <n v="13876.186799999999"/>
    <n v="15451.240000000002"/>
    <n v="-1575.0532000000021"/>
    <x v="0"/>
  </r>
  <r>
    <s v="ORD1228"/>
    <n v="1096"/>
    <x v="159"/>
    <s v="Aug"/>
    <x v="96"/>
    <n v="18"/>
    <s v="Delhi"/>
    <x v="2"/>
    <x v="1"/>
    <n v="30"/>
    <x v="3"/>
    <n v="3969.86"/>
    <n v="4281.79"/>
    <s v="Returning"/>
    <n v="0.08"/>
    <s v="Bank Transfer"/>
    <x v="1"/>
    <x v="2"/>
    <n v="118177.40400000001"/>
    <n v="119095.8"/>
    <n v="-918.39599999999336"/>
    <x v="2"/>
  </r>
  <r>
    <s v="ORD1229"/>
    <n v="1097"/>
    <x v="91"/>
    <s v="Sep"/>
    <x v="135"/>
    <n v="57"/>
    <s v="Chennai"/>
    <x v="0"/>
    <x v="3"/>
    <n v="9"/>
    <x v="1"/>
    <n v="4067.28"/>
    <n v="4548.09"/>
    <s v="Returning"/>
    <n v="0.12"/>
    <s v="Credit Card"/>
    <x v="0"/>
    <x v="1"/>
    <n v="36020.872799999997"/>
    <n v="36605.520000000004"/>
    <n v="-584.64720000000671"/>
    <x v="0"/>
  </r>
  <r>
    <s v="ORD1230"/>
    <n v="1001"/>
    <x v="160"/>
    <s v="Sep"/>
    <x v="19"/>
    <n v="39"/>
    <s v="Bangalore"/>
    <x v="3"/>
    <x v="0"/>
    <n v="39"/>
    <x v="1"/>
    <n v="2437.2600000000002"/>
    <n v="2889.67"/>
    <s v="Returning"/>
    <n v="0.25"/>
    <s v="Cash"/>
    <x v="1"/>
    <x v="1"/>
    <n v="84522.847500000003"/>
    <n v="95053.140000000014"/>
    <n v="-10530.29250000001"/>
    <x v="1"/>
  </r>
  <r>
    <s v="ORD1231"/>
    <n v="1019"/>
    <x v="146"/>
    <s v="Oct"/>
    <x v="33"/>
    <n v="46"/>
    <s v="Delhi"/>
    <x v="4"/>
    <x v="0"/>
    <n v="31"/>
    <x v="1"/>
    <n v="333.69"/>
    <n v="685.1"/>
    <s v="New"/>
    <n v="0.04"/>
    <s v="Bank Transfer"/>
    <x v="0"/>
    <x v="1"/>
    <n v="20388.576000000001"/>
    <n v="10344.39"/>
    <n v="10044.186000000002"/>
    <x v="0"/>
  </r>
  <r>
    <s v="ORD1232"/>
    <n v="1002"/>
    <x v="6"/>
    <s v="Apr"/>
    <x v="136"/>
    <n v="25"/>
    <s v="Delhi"/>
    <x v="0"/>
    <x v="1"/>
    <n v="21"/>
    <x v="1"/>
    <n v="914.22"/>
    <n v="971.57"/>
    <s v="Returning"/>
    <n v="0.14000000000000001"/>
    <s v="Cash"/>
    <x v="0"/>
    <x v="0"/>
    <n v="17546.554200000002"/>
    <n v="19198.62"/>
    <n v="-1652.0657999999967"/>
    <x v="1"/>
  </r>
  <r>
    <s v="ORD1233"/>
    <n v="1053"/>
    <x v="145"/>
    <s v="Dec"/>
    <x v="84"/>
    <n v="28"/>
    <s v="Bangalore"/>
    <x v="0"/>
    <x v="0"/>
    <n v="47"/>
    <x v="3"/>
    <n v="3551.76"/>
    <n v="3696.1"/>
    <s v="Returning"/>
    <n v="0.15"/>
    <s v="Bank Transfer"/>
    <x v="1"/>
    <x v="0"/>
    <n v="147659.19499999998"/>
    <n v="166932.72"/>
    <n v="-19273.525000000023"/>
    <x v="1"/>
  </r>
  <r>
    <s v="ORD1234"/>
    <n v="1044"/>
    <x v="161"/>
    <s v="Apr"/>
    <x v="95"/>
    <n v="58"/>
    <s v="Mumbai"/>
    <x v="4"/>
    <x v="2"/>
    <n v="34"/>
    <x v="1"/>
    <n v="3573.3"/>
    <n v="3740.13"/>
    <s v="Returning"/>
    <n v="0.01"/>
    <s v="Credit Card"/>
    <x v="0"/>
    <x v="0"/>
    <n v="125892.7758"/>
    <n v="121492.20000000001"/>
    <n v="4400.5757999999914"/>
    <x v="0"/>
  </r>
  <r>
    <s v="ORD1235"/>
    <n v="1090"/>
    <x v="162"/>
    <s v="Jul"/>
    <x v="122"/>
    <n v="54"/>
    <s v="Kolkata"/>
    <x v="3"/>
    <x v="3"/>
    <n v="31"/>
    <x v="0"/>
    <n v="4496.8599999999997"/>
    <n v="4880.8"/>
    <s v="New"/>
    <n v="0.06"/>
    <s v="Cash"/>
    <x v="1"/>
    <x v="1"/>
    <n v="142226.51200000002"/>
    <n v="139402.66"/>
    <n v="2823.8520000000135"/>
    <x v="0"/>
  </r>
  <r>
    <s v="ORD1236"/>
    <n v="1032"/>
    <x v="163"/>
    <s v="Nov"/>
    <x v="137"/>
    <n v="31"/>
    <s v="Mumbai"/>
    <x v="4"/>
    <x v="2"/>
    <n v="25"/>
    <x v="3"/>
    <n v="2934.3"/>
    <n v="3937.4"/>
    <s v="Returning"/>
    <n v="0.25"/>
    <s v="Credit Card"/>
    <x v="1"/>
    <x v="2"/>
    <n v="73826.25"/>
    <n v="73357.5"/>
    <n v="468.75"/>
    <x v="1"/>
  </r>
  <r>
    <s v="ORD1237"/>
    <n v="1070"/>
    <x v="58"/>
    <s v="Jan"/>
    <x v="10"/>
    <n v="47"/>
    <s v="Chennai"/>
    <x v="0"/>
    <x v="0"/>
    <n v="12"/>
    <x v="0"/>
    <n v="664.33"/>
    <n v="863.03"/>
    <s v="Returning"/>
    <n v="0.25"/>
    <s v="Bank Transfer"/>
    <x v="0"/>
    <x v="2"/>
    <n v="7767.27"/>
    <n v="7971.9600000000009"/>
    <n v="-204.69000000000051"/>
    <x v="0"/>
  </r>
  <r>
    <s v="ORD1238"/>
    <n v="1032"/>
    <x v="78"/>
    <s v="Nov"/>
    <x v="138"/>
    <n v="52"/>
    <s v="Bangalore"/>
    <x v="1"/>
    <x v="1"/>
    <n v="1"/>
    <x v="1"/>
    <n v="651"/>
    <n v="865.76"/>
    <s v="Returning"/>
    <n v="0.09"/>
    <s v="Bank Transfer"/>
    <x v="1"/>
    <x v="2"/>
    <n v="787.84159999999997"/>
    <n v="651"/>
    <n v="136.84159999999997"/>
    <x v="0"/>
  </r>
  <r>
    <s v="ORD1239"/>
    <n v="1068"/>
    <x v="164"/>
    <s v="Feb"/>
    <x v="52"/>
    <n v="38"/>
    <s v="Mumbai"/>
    <x v="1"/>
    <x v="3"/>
    <n v="22"/>
    <x v="2"/>
    <n v="3619.61"/>
    <n v="4651.42"/>
    <s v="Returning"/>
    <n v="0.26"/>
    <s v="Bank Transfer"/>
    <x v="0"/>
    <x v="2"/>
    <n v="75725.117599999998"/>
    <n v="79631.42"/>
    <n v="-3906.3024000000005"/>
    <x v="1"/>
  </r>
  <r>
    <s v="ORD1240"/>
    <n v="1055"/>
    <x v="165"/>
    <s v="May"/>
    <x v="22"/>
    <n v="54"/>
    <s v="Delhi"/>
    <x v="2"/>
    <x v="0"/>
    <n v="40"/>
    <x v="0"/>
    <n v="959.73"/>
    <n v="1111.4100000000001"/>
    <s v="New"/>
    <n v="0.23"/>
    <s v="Bank Transfer"/>
    <x v="1"/>
    <x v="0"/>
    <n v="34231.428"/>
    <n v="38389.199999999997"/>
    <n v="-4157.7719999999972"/>
    <x v="0"/>
  </r>
  <r>
    <s v="ORD1241"/>
    <n v="1075"/>
    <x v="117"/>
    <s v="Nov"/>
    <x v="18"/>
    <n v="22"/>
    <s v="Chennai"/>
    <x v="4"/>
    <x v="0"/>
    <n v="37"/>
    <x v="1"/>
    <n v="1675.51"/>
    <n v="1906.64"/>
    <s v="New"/>
    <n v="0.13"/>
    <s v="Bank Transfer"/>
    <x v="1"/>
    <x v="0"/>
    <n v="61374.741600000008"/>
    <n v="61993.87"/>
    <n v="-619.12839999999414"/>
    <x v="2"/>
  </r>
  <r>
    <s v="ORD1242"/>
    <n v="1056"/>
    <x v="28"/>
    <s v="May"/>
    <x v="32"/>
    <n v="36"/>
    <s v="Chennai"/>
    <x v="4"/>
    <x v="1"/>
    <n v="47"/>
    <x v="0"/>
    <n v="2461.6999999999998"/>
    <n v="4529.0200000000004"/>
    <s v="Returning"/>
    <n v="0.22"/>
    <s v="Cash"/>
    <x v="1"/>
    <x v="1"/>
    <n v="166033.87320000003"/>
    <n v="115699.9"/>
    <n v="50333.973200000037"/>
    <x v="1"/>
  </r>
  <r>
    <s v="ORD1243"/>
    <n v="1017"/>
    <x v="166"/>
    <s v="Jul"/>
    <x v="20"/>
    <n v="31"/>
    <s v="Mumbai"/>
    <x v="2"/>
    <x v="1"/>
    <n v="1"/>
    <x v="1"/>
    <n v="172.59"/>
    <n v="404.69"/>
    <s v="Returning"/>
    <n v="0.28999999999999998"/>
    <s v="Bank Transfer"/>
    <x v="0"/>
    <x v="1"/>
    <n v="287.32990000000001"/>
    <n v="172.59"/>
    <n v="114.73990000000001"/>
    <x v="1"/>
  </r>
  <r>
    <s v="ORD1244"/>
    <n v="1038"/>
    <x v="163"/>
    <s v="Nov"/>
    <x v="139"/>
    <n v="43"/>
    <s v="Mumbai"/>
    <x v="2"/>
    <x v="2"/>
    <n v="1"/>
    <x v="1"/>
    <n v="1281.6500000000001"/>
    <n v="1709.71"/>
    <s v="Returning"/>
    <n v="0.14000000000000001"/>
    <s v="Credit Card"/>
    <x v="1"/>
    <x v="2"/>
    <n v="1470.3506"/>
    <n v="1281.6500000000001"/>
    <n v="188.70059999999989"/>
    <x v="0"/>
  </r>
  <r>
    <s v="ORD1245"/>
    <n v="1024"/>
    <x v="167"/>
    <s v="Apr"/>
    <x v="140"/>
    <n v="21"/>
    <s v="Bangalore"/>
    <x v="2"/>
    <x v="3"/>
    <n v="42"/>
    <x v="1"/>
    <n v="2069.0500000000002"/>
    <n v="2363.9"/>
    <s v="Returning"/>
    <n v="7.0000000000000007E-2"/>
    <s v="Cash"/>
    <x v="0"/>
    <x v="0"/>
    <n v="92333.933999999994"/>
    <n v="86900.1"/>
    <n v="5433.833999999988"/>
    <x v="2"/>
  </r>
  <r>
    <s v="ORD1246"/>
    <n v="1069"/>
    <x v="168"/>
    <s v="Jun"/>
    <x v="81"/>
    <n v="42"/>
    <s v="Kolkata"/>
    <x v="0"/>
    <x v="3"/>
    <n v="42"/>
    <x v="2"/>
    <n v="1434.2"/>
    <n v="1482.88"/>
    <s v="New"/>
    <n v="0.28000000000000003"/>
    <s v="Credit Card"/>
    <x v="1"/>
    <x v="2"/>
    <n v="44842.2912"/>
    <n v="60236.4"/>
    <n v="-15394.108800000002"/>
    <x v="0"/>
  </r>
  <r>
    <s v="ORD1247"/>
    <n v="1098"/>
    <x v="96"/>
    <s v="Oct"/>
    <x v="44"/>
    <n v="62"/>
    <s v="Mumbai"/>
    <x v="4"/>
    <x v="1"/>
    <n v="21"/>
    <x v="0"/>
    <n v="725.03"/>
    <n v="828.95"/>
    <s v="New"/>
    <n v="0.18"/>
    <s v="Bank Transfer"/>
    <x v="1"/>
    <x v="1"/>
    <n v="14274.519000000002"/>
    <n v="15225.63"/>
    <n v="-951.11099999999715"/>
    <x v="0"/>
  </r>
  <r>
    <s v="ORD1248"/>
    <n v="1070"/>
    <x v="113"/>
    <s v="Mar"/>
    <x v="141"/>
    <n v="59"/>
    <s v="Mumbai"/>
    <x v="0"/>
    <x v="2"/>
    <n v="15"/>
    <x v="3"/>
    <n v="3653.66"/>
    <n v="3896.19"/>
    <s v="New"/>
    <n v="0.03"/>
    <s v="Credit Card"/>
    <x v="0"/>
    <x v="1"/>
    <n v="56689.5645"/>
    <n v="54804.899999999994"/>
    <n v="1884.6645000000062"/>
    <x v="0"/>
  </r>
  <r>
    <s v="ORD1249"/>
    <n v="1086"/>
    <x v="169"/>
    <s v="Sep"/>
    <x v="142"/>
    <n v="42"/>
    <s v="Delhi"/>
    <x v="2"/>
    <x v="3"/>
    <n v="17"/>
    <x v="3"/>
    <n v="4075.08"/>
    <n v="4262.21"/>
    <s v="New"/>
    <n v="0.17"/>
    <s v="Cash"/>
    <x v="0"/>
    <x v="2"/>
    <n v="60139.783100000001"/>
    <n v="69276.36"/>
    <n v="-9136.5769"/>
    <x v="0"/>
  </r>
  <r>
    <s v="ORD1250"/>
    <n v="1011"/>
    <x v="170"/>
    <s v="Jan"/>
    <x v="125"/>
    <n v="35"/>
    <s v="Chennai"/>
    <x v="4"/>
    <x v="1"/>
    <n v="22"/>
    <x v="3"/>
    <n v="1324.52"/>
    <n v="1510.3"/>
    <s v="Returning"/>
    <n v="0.15"/>
    <s v="Cash"/>
    <x v="0"/>
    <x v="1"/>
    <n v="28242.609999999997"/>
    <n v="29139.439999999999"/>
    <n v="-896.83000000000175"/>
    <x v="1"/>
  </r>
  <r>
    <s v="ORD1251"/>
    <n v="1016"/>
    <x v="59"/>
    <s v="Mar"/>
    <x v="143"/>
    <n v="57"/>
    <s v="Kolkata"/>
    <x v="0"/>
    <x v="0"/>
    <n v="38"/>
    <x v="3"/>
    <n v="3883.38"/>
    <n v="4152.72"/>
    <s v="Returning"/>
    <n v="0.26"/>
    <s v="Cash"/>
    <x v="0"/>
    <x v="2"/>
    <n v="116774.48640000001"/>
    <n v="147568.44"/>
    <n v="-30793.953599999993"/>
    <x v="0"/>
  </r>
  <r>
    <s v="ORD1252"/>
    <n v="1097"/>
    <x v="37"/>
    <s v="Mar"/>
    <x v="131"/>
    <n v="25"/>
    <s v="Delhi"/>
    <x v="0"/>
    <x v="3"/>
    <n v="35"/>
    <x v="1"/>
    <n v="1958.49"/>
    <n v="2254.84"/>
    <s v="New"/>
    <n v="0.16"/>
    <s v="Credit Card"/>
    <x v="0"/>
    <x v="0"/>
    <n v="66292.296000000002"/>
    <n v="68547.149999999994"/>
    <n v="-2254.8539999999921"/>
    <x v="1"/>
  </r>
  <r>
    <s v="ORD1253"/>
    <n v="1073"/>
    <x v="129"/>
    <s v="Oct"/>
    <x v="119"/>
    <n v="56"/>
    <s v="Bangalore"/>
    <x v="2"/>
    <x v="2"/>
    <n v="45"/>
    <x v="0"/>
    <n v="2558.09"/>
    <n v="2958.55"/>
    <s v="New"/>
    <n v="0.08"/>
    <s v="Cash"/>
    <x v="1"/>
    <x v="2"/>
    <n v="122483.97"/>
    <n v="115114.05"/>
    <n v="7369.9199999999983"/>
    <x v="0"/>
  </r>
  <r>
    <s v="ORD1254"/>
    <n v="1059"/>
    <x v="150"/>
    <s v="Jul"/>
    <x v="144"/>
    <n v="57"/>
    <s v="Bangalore"/>
    <x v="4"/>
    <x v="2"/>
    <n v="16"/>
    <x v="0"/>
    <n v="4287.21"/>
    <n v="4464.28"/>
    <s v="Returning"/>
    <n v="0.2"/>
    <s v="Credit Card"/>
    <x v="1"/>
    <x v="0"/>
    <n v="57142.784"/>
    <n v="68595.360000000001"/>
    <n v="-11452.576000000001"/>
    <x v="0"/>
  </r>
  <r>
    <s v="ORD1255"/>
    <n v="1070"/>
    <x v="171"/>
    <s v="Dec"/>
    <x v="54"/>
    <n v="31"/>
    <s v="Mumbai"/>
    <x v="2"/>
    <x v="2"/>
    <n v="8"/>
    <x v="2"/>
    <n v="3762.27"/>
    <n v="4166.95"/>
    <s v="Returning"/>
    <n v="0.16"/>
    <s v="Bank Transfer"/>
    <x v="0"/>
    <x v="0"/>
    <n v="28001.903999999999"/>
    <n v="30098.16"/>
    <n v="-2096.2560000000012"/>
    <x v="1"/>
  </r>
  <r>
    <s v="ORD1256"/>
    <n v="1080"/>
    <x v="172"/>
    <s v="Jan"/>
    <x v="145"/>
    <n v="49"/>
    <s v="Mumbai"/>
    <x v="4"/>
    <x v="0"/>
    <n v="47"/>
    <x v="0"/>
    <n v="4035.33"/>
    <n v="4211.25"/>
    <s v="Returning"/>
    <n v="7.0000000000000007E-2"/>
    <s v="Bank Transfer"/>
    <x v="1"/>
    <x v="1"/>
    <n v="184073.73749999999"/>
    <n v="189660.51"/>
    <n v="-5586.772500000021"/>
    <x v="0"/>
  </r>
  <r>
    <s v="ORD1257"/>
    <n v="1093"/>
    <x v="173"/>
    <s v="May"/>
    <x v="99"/>
    <n v="55"/>
    <s v="Bangalore"/>
    <x v="1"/>
    <x v="3"/>
    <n v="17"/>
    <x v="0"/>
    <n v="727.38"/>
    <n v="764.54"/>
    <s v="Returning"/>
    <n v="0.17"/>
    <s v="Credit Card"/>
    <x v="1"/>
    <x v="1"/>
    <n v="10787.6594"/>
    <n v="12365.46"/>
    <n v="-1577.8005999999987"/>
    <x v="0"/>
  </r>
  <r>
    <s v="ORD1258"/>
    <n v="1003"/>
    <x v="174"/>
    <s v="Dec"/>
    <x v="27"/>
    <n v="50"/>
    <s v="Mumbai"/>
    <x v="3"/>
    <x v="3"/>
    <n v="17"/>
    <x v="0"/>
    <n v="395.11"/>
    <n v="676.66"/>
    <s v="Returning"/>
    <n v="0.25"/>
    <s v="Cash"/>
    <x v="1"/>
    <x v="1"/>
    <n v="8627.4149999999991"/>
    <n v="6716.87"/>
    <n v="1910.5449999999992"/>
    <x v="0"/>
  </r>
  <r>
    <s v="ORD1259"/>
    <n v="1020"/>
    <x v="175"/>
    <s v="Sep"/>
    <x v="26"/>
    <n v="40"/>
    <s v="Kolkata"/>
    <x v="3"/>
    <x v="0"/>
    <n v="26"/>
    <x v="2"/>
    <n v="4472.3500000000004"/>
    <n v="4770.42"/>
    <s v="New"/>
    <n v="0.01"/>
    <s v="Credit Card"/>
    <x v="0"/>
    <x v="2"/>
    <n v="122790.61079999999"/>
    <n v="116281.1"/>
    <n v="6509.5107999999891"/>
    <x v="1"/>
  </r>
  <r>
    <s v="ORD1260"/>
    <n v="1059"/>
    <x v="109"/>
    <s v="Jun"/>
    <x v="124"/>
    <n v="32"/>
    <s v="Mumbai"/>
    <x v="3"/>
    <x v="3"/>
    <n v="13"/>
    <x v="3"/>
    <n v="1969.78"/>
    <n v="2437.6999999999998"/>
    <s v="New"/>
    <n v="0.19"/>
    <s v="Credit Card"/>
    <x v="1"/>
    <x v="2"/>
    <n v="25668.981"/>
    <n v="25607.14"/>
    <n v="61.841000000000349"/>
    <x v="1"/>
  </r>
  <r>
    <s v="ORD1261"/>
    <n v="1036"/>
    <x v="162"/>
    <s v="Jul"/>
    <x v="146"/>
    <n v="50"/>
    <s v="Chennai"/>
    <x v="2"/>
    <x v="0"/>
    <n v="17"/>
    <x v="0"/>
    <n v="1475"/>
    <n v="1840.77"/>
    <s v="Returning"/>
    <n v="0.1"/>
    <s v="Credit Card"/>
    <x v="1"/>
    <x v="1"/>
    <n v="28163.780999999999"/>
    <n v="25075"/>
    <n v="3088.780999999999"/>
    <x v="0"/>
  </r>
  <r>
    <s v="ORD1262"/>
    <n v="1019"/>
    <x v="26"/>
    <s v="Jun"/>
    <x v="111"/>
    <n v="42"/>
    <s v="Mumbai"/>
    <x v="1"/>
    <x v="0"/>
    <n v="38"/>
    <x v="2"/>
    <n v="3637.25"/>
    <n v="4096.96"/>
    <s v="Returning"/>
    <n v="0.09"/>
    <s v="Bank Transfer"/>
    <x v="1"/>
    <x v="2"/>
    <n v="141672.87680000003"/>
    <n v="138215.5"/>
    <n v="3457.3768000000273"/>
    <x v="0"/>
  </r>
  <r>
    <s v="ORD1263"/>
    <n v="1090"/>
    <x v="170"/>
    <s v="Jan"/>
    <x v="90"/>
    <n v="34"/>
    <s v="Delhi"/>
    <x v="4"/>
    <x v="0"/>
    <n v="17"/>
    <x v="2"/>
    <n v="4190.26"/>
    <n v="4645.3500000000004"/>
    <s v="New"/>
    <n v="0.12"/>
    <s v="Credit Card"/>
    <x v="0"/>
    <x v="1"/>
    <n v="69494.436000000016"/>
    <n v="71234.42"/>
    <n v="-1739.9839999999822"/>
    <x v="1"/>
  </r>
  <r>
    <s v="ORD1264"/>
    <n v="1067"/>
    <x v="8"/>
    <s v="Jun"/>
    <x v="24"/>
    <n v="50"/>
    <s v="Kolkata"/>
    <x v="0"/>
    <x v="2"/>
    <n v="48"/>
    <x v="1"/>
    <n v="4319.32"/>
    <n v="4625.5600000000004"/>
    <s v="Returning"/>
    <n v="0.1"/>
    <s v="Bank Transfer"/>
    <x v="1"/>
    <x v="2"/>
    <n v="199824.19200000001"/>
    <n v="207327.35999999999"/>
    <n v="-7503.167999999976"/>
    <x v="0"/>
  </r>
  <r>
    <s v="ORD1265"/>
    <n v="1019"/>
    <x v="18"/>
    <s v="Jul"/>
    <x v="53"/>
    <n v="64"/>
    <s v="Delhi"/>
    <x v="4"/>
    <x v="3"/>
    <n v="14"/>
    <x v="2"/>
    <n v="1614.19"/>
    <n v="1882.79"/>
    <s v="New"/>
    <n v="0.25"/>
    <s v="Credit Card"/>
    <x v="1"/>
    <x v="0"/>
    <n v="19769.294999999998"/>
    <n v="22598.66"/>
    <n v="-2829.3650000000016"/>
    <x v="0"/>
  </r>
  <r>
    <s v="ORD1266"/>
    <n v="1020"/>
    <x v="176"/>
    <s v="Dec"/>
    <x v="109"/>
    <n v="19"/>
    <s v="Delhi"/>
    <x v="0"/>
    <x v="0"/>
    <n v="45"/>
    <x v="3"/>
    <n v="4268.45"/>
    <n v="4551.6000000000004"/>
    <s v="New"/>
    <n v="0.08"/>
    <s v="Bank Transfer"/>
    <x v="0"/>
    <x v="0"/>
    <n v="188436.24000000005"/>
    <n v="192080.25"/>
    <n v="-3644.0099999999511"/>
    <x v="2"/>
  </r>
  <r>
    <s v="ORD1267"/>
    <n v="1096"/>
    <x v="67"/>
    <s v="Jun"/>
    <x v="57"/>
    <n v="31"/>
    <s v="Chennai"/>
    <x v="4"/>
    <x v="3"/>
    <n v="6"/>
    <x v="0"/>
    <n v="252.62"/>
    <n v="742"/>
    <s v="New"/>
    <n v="0.22"/>
    <s v="Credit Card"/>
    <x v="0"/>
    <x v="1"/>
    <n v="3472.56"/>
    <n v="1515.72"/>
    <n v="1956.84"/>
    <x v="1"/>
  </r>
  <r>
    <s v="ORD1268"/>
    <n v="1071"/>
    <x v="177"/>
    <s v="Jun"/>
    <x v="99"/>
    <n v="57"/>
    <s v="Kolkata"/>
    <x v="1"/>
    <x v="2"/>
    <n v="35"/>
    <x v="2"/>
    <n v="295.82"/>
    <n v="684.67"/>
    <s v="New"/>
    <n v="0.03"/>
    <s v="Credit Card"/>
    <x v="1"/>
    <x v="2"/>
    <n v="23244.546499999997"/>
    <n v="10353.699999999999"/>
    <n v="12890.846499999998"/>
    <x v="0"/>
  </r>
  <r>
    <s v="ORD1269"/>
    <n v="1052"/>
    <x v="178"/>
    <s v="Oct"/>
    <x v="74"/>
    <n v="57"/>
    <s v="Kolkata"/>
    <x v="0"/>
    <x v="0"/>
    <n v="46"/>
    <x v="3"/>
    <n v="3136.42"/>
    <n v="3198.49"/>
    <s v="Returning"/>
    <n v="0.28999999999999998"/>
    <s v="Cash"/>
    <x v="1"/>
    <x v="2"/>
    <n v="104462.68339999998"/>
    <n v="144275.32"/>
    <n v="-39812.636600000027"/>
    <x v="0"/>
  </r>
  <r>
    <s v="ORD1270"/>
    <n v="1033"/>
    <x v="113"/>
    <s v="Mar"/>
    <x v="147"/>
    <n v="56"/>
    <s v="Kolkata"/>
    <x v="2"/>
    <x v="1"/>
    <n v="14"/>
    <x v="2"/>
    <n v="362.38"/>
    <n v="753.81"/>
    <s v="Returning"/>
    <n v="0.19"/>
    <s v="Cash"/>
    <x v="0"/>
    <x v="0"/>
    <n v="8548.2054000000007"/>
    <n v="5073.32"/>
    <n v="3474.885400000001"/>
    <x v="0"/>
  </r>
  <r>
    <s v="ORD1271"/>
    <n v="1040"/>
    <x v="16"/>
    <s v="May"/>
    <x v="146"/>
    <n v="23"/>
    <s v="Kolkata"/>
    <x v="4"/>
    <x v="2"/>
    <n v="47"/>
    <x v="2"/>
    <n v="1656.82"/>
    <n v="1750.38"/>
    <s v="New"/>
    <n v="0.21"/>
    <s v="Credit Card"/>
    <x v="0"/>
    <x v="0"/>
    <n v="64991.609400000001"/>
    <n v="77870.539999999994"/>
    <n v="-12878.930599999992"/>
    <x v="2"/>
  </r>
  <r>
    <s v="ORD1272"/>
    <n v="1039"/>
    <x v="168"/>
    <s v="Jun"/>
    <x v="148"/>
    <n v="23"/>
    <s v="Kolkata"/>
    <x v="4"/>
    <x v="1"/>
    <n v="8"/>
    <x v="2"/>
    <n v="3380.14"/>
    <n v="3609.34"/>
    <s v="Returning"/>
    <n v="0.09"/>
    <s v="Credit Card"/>
    <x v="0"/>
    <x v="1"/>
    <n v="26275.995200000001"/>
    <n v="27041.119999999999"/>
    <n v="-765.12479999999778"/>
    <x v="2"/>
  </r>
  <r>
    <s v="ORD1273"/>
    <n v="1082"/>
    <x v="179"/>
    <s v="Jun"/>
    <x v="98"/>
    <n v="20"/>
    <s v="Chennai"/>
    <x v="0"/>
    <x v="3"/>
    <n v="15"/>
    <x v="2"/>
    <n v="1719.47"/>
    <n v="1832.6"/>
    <s v="Returning"/>
    <n v="0.12"/>
    <s v="Credit Card"/>
    <x v="0"/>
    <x v="0"/>
    <n v="24190.32"/>
    <n v="25792.05"/>
    <n v="-1601.7299999999996"/>
    <x v="2"/>
  </r>
  <r>
    <s v="ORD1274"/>
    <n v="1001"/>
    <x v="180"/>
    <s v="Feb"/>
    <x v="91"/>
    <n v="24"/>
    <s v="Mumbai"/>
    <x v="2"/>
    <x v="3"/>
    <n v="27"/>
    <x v="2"/>
    <n v="939.02"/>
    <n v="1286.92"/>
    <s v="Returning"/>
    <n v="7.0000000000000007E-2"/>
    <s v="Credit Card"/>
    <x v="0"/>
    <x v="1"/>
    <n v="32314.5612"/>
    <n v="25353.54"/>
    <n v="6961.0211999999992"/>
    <x v="2"/>
  </r>
  <r>
    <s v="ORD1275"/>
    <n v="1011"/>
    <x v="181"/>
    <s v="Dec"/>
    <x v="133"/>
    <n v="25"/>
    <s v="Delhi"/>
    <x v="2"/>
    <x v="2"/>
    <n v="13"/>
    <x v="3"/>
    <n v="1442.69"/>
    <n v="1882.57"/>
    <s v="Returning"/>
    <n v="0.28000000000000003"/>
    <s v="Cash"/>
    <x v="0"/>
    <x v="0"/>
    <n v="17620.855199999998"/>
    <n v="18754.97"/>
    <n v="-1134.114800000003"/>
    <x v="1"/>
  </r>
  <r>
    <s v="ORD1276"/>
    <n v="1092"/>
    <x v="76"/>
    <s v="Mar"/>
    <x v="88"/>
    <n v="59"/>
    <s v="Kolkata"/>
    <x v="1"/>
    <x v="3"/>
    <n v="49"/>
    <x v="0"/>
    <n v="2315"/>
    <n v="2467.2800000000002"/>
    <s v="New"/>
    <n v="0.15"/>
    <s v="Bank Transfer"/>
    <x v="0"/>
    <x v="0"/>
    <n v="102762.21200000001"/>
    <n v="113435"/>
    <n v="-10672.787999999986"/>
    <x v="0"/>
  </r>
  <r>
    <s v="ORD1277"/>
    <n v="1057"/>
    <x v="92"/>
    <s v="Dec"/>
    <x v="149"/>
    <n v="32"/>
    <s v="Mumbai"/>
    <x v="2"/>
    <x v="1"/>
    <n v="31"/>
    <x v="0"/>
    <n v="2403.16"/>
    <n v="2453.35"/>
    <s v="Returning"/>
    <n v="0.19"/>
    <s v="Credit Card"/>
    <x v="1"/>
    <x v="2"/>
    <n v="61603.618499999997"/>
    <n v="74497.959999999992"/>
    <n v="-12894.341499999995"/>
    <x v="1"/>
  </r>
  <r>
    <s v="ORD1278"/>
    <n v="1089"/>
    <x v="177"/>
    <s v="Jun"/>
    <x v="12"/>
    <n v="64"/>
    <s v="Mumbai"/>
    <x v="2"/>
    <x v="0"/>
    <n v="35"/>
    <x v="0"/>
    <n v="3925.85"/>
    <n v="4082.11"/>
    <s v="New"/>
    <n v="0.09"/>
    <s v="Cash"/>
    <x v="0"/>
    <x v="0"/>
    <n v="130015.2035"/>
    <n v="137404.75"/>
    <n v="-7389.5464999999967"/>
    <x v="0"/>
  </r>
  <r>
    <s v="ORD1279"/>
    <n v="1050"/>
    <x v="141"/>
    <s v="May"/>
    <x v="106"/>
    <n v="46"/>
    <s v="Delhi"/>
    <x v="2"/>
    <x v="0"/>
    <n v="6"/>
    <x v="0"/>
    <n v="3763.26"/>
    <n v="4102.72"/>
    <s v="New"/>
    <n v="0.11"/>
    <s v="Credit Card"/>
    <x v="0"/>
    <x v="0"/>
    <n v="21908.524799999999"/>
    <n v="22579.56"/>
    <n v="-671.03520000000208"/>
    <x v="0"/>
  </r>
  <r>
    <s v="ORD1280"/>
    <n v="1023"/>
    <x v="40"/>
    <s v="Apr"/>
    <x v="41"/>
    <n v="50"/>
    <s v="Chennai"/>
    <x v="3"/>
    <x v="0"/>
    <n v="5"/>
    <x v="3"/>
    <n v="2311.25"/>
    <n v="2482.34"/>
    <s v="Returning"/>
    <n v="0.22"/>
    <s v="Credit Card"/>
    <x v="1"/>
    <x v="1"/>
    <n v="9681.1260000000002"/>
    <n v="11556.25"/>
    <n v="-1875.1239999999998"/>
    <x v="0"/>
  </r>
  <r>
    <s v="ORD1281"/>
    <n v="1031"/>
    <x v="182"/>
    <s v="Dec"/>
    <x v="97"/>
    <n v="47"/>
    <s v="Bangalore"/>
    <x v="1"/>
    <x v="2"/>
    <n v="22"/>
    <x v="1"/>
    <n v="4236.05"/>
    <n v="4382.32"/>
    <s v="New"/>
    <n v="0.03"/>
    <s v="Bank Transfer"/>
    <x v="0"/>
    <x v="0"/>
    <n v="93518.708799999993"/>
    <n v="93193.1"/>
    <n v="325.60879999998724"/>
    <x v="0"/>
  </r>
  <r>
    <s v="ORD1282"/>
    <n v="1094"/>
    <x v="113"/>
    <s v="Mar"/>
    <x v="111"/>
    <n v="56"/>
    <s v="Bangalore"/>
    <x v="4"/>
    <x v="3"/>
    <n v="49"/>
    <x v="1"/>
    <n v="615.47"/>
    <n v="715.84"/>
    <s v="Returning"/>
    <n v="0.21"/>
    <s v="Credit Card"/>
    <x v="0"/>
    <x v="1"/>
    <n v="27710.166400000006"/>
    <n v="30158.030000000002"/>
    <n v="-2447.8635999999969"/>
    <x v="0"/>
  </r>
  <r>
    <s v="ORD1283"/>
    <n v="1042"/>
    <x v="183"/>
    <s v="Jul"/>
    <x v="52"/>
    <n v="44"/>
    <s v="Mumbai"/>
    <x v="0"/>
    <x v="1"/>
    <n v="23"/>
    <x v="3"/>
    <n v="1314"/>
    <n v="1567.78"/>
    <s v="Returning"/>
    <n v="0.15"/>
    <s v="Credit Card"/>
    <x v="1"/>
    <x v="0"/>
    <n v="30650.099000000002"/>
    <n v="30222"/>
    <n v="428.09900000000198"/>
    <x v="0"/>
  </r>
  <r>
    <s v="ORD1284"/>
    <n v="1099"/>
    <x v="143"/>
    <s v="Dec"/>
    <x v="112"/>
    <n v="53"/>
    <s v="Delhi"/>
    <x v="4"/>
    <x v="3"/>
    <n v="25"/>
    <x v="3"/>
    <n v="4148.4799999999996"/>
    <n v="4293.6899999999996"/>
    <s v="New"/>
    <n v="0.11"/>
    <s v="Bank Transfer"/>
    <x v="0"/>
    <x v="0"/>
    <n v="95534.602499999994"/>
    <n v="103711.99999999999"/>
    <n v="-8177.3974999999919"/>
    <x v="0"/>
  </r>
  <r>
    <s v="ORD1285"/>
    <n v="1007"/>
    <x v="180"/>
    <s v="Feb"/>
    <x v="38"/>
    <n v="46"/>
    <s v="Bangalore"/>
    <x v="1"/>
    <x v="3"/>
    <n v="34"/>
    <x v="2"/>
    <n v="1921.07"/>
    <n v="2289.27"/>
    <s v="Returning"/>
    <n v="7.0000000000000007E-2"/>
    <s v="Bank Transfer"/>
    <x v="1"/>
    <x v="1"/>
    <n v="72386.717399999994"/>
    <n v="65316.38"/>
    <n v="7070.3373999999967"/>
    <x v="0"/>
  </r>
  <r>
    <s v="ORD1286"/>
    <n v="1016"/>
    <x v="184"/>
    <s v="Nov"/>
    <x v="17"/>
    <n v="55"/>
    <s v="Mumbai"/>
    <x v="0"/>
    <x v="3"/>
    <n v="26"/>
    <x v="2"/>
    <n v="4906.8500000000004"/>
    <n v="6154.39"/>
    <s v="New"/>
    <n v="0.25"/>
    <s v="Bank Transfer"/>
    <x v="1"/>
    <x v="2"/>
    <n v="120010.60500000001"/>
    <n v="127578.1"/>
    <n v="-7567.4949999999953"/>
    <x v="0"/>
  </r>
  <r>
    <s v="ORD1287"/>
    <n v="1090"/>
    <x v="160"/>
    <s v="Sep"/>
    <x v="68"/>
    <n v="50"/>
    <s v="Chennai"/>
    <x v="1"/>
    <x v="0"/>
    <n v="47"/>
    <x v="2"/>
    <n v="2357.9499999999998"/>
    <n v="2693.33"/>
    <s v="New"/>
    <n v="0.18"/>
    <s v="Bank Transfer"/>
    <x v="1"/>
    <x v="1"/>
    <n v="103800.9382"/>
    <n v="110823.65"/>
    <n v="-7022.71179999999"/>
    <x v="0"/>
  </r>
  <r>
    <s v="ORD1288"/>
    <n v="1060"/>
    <x v="185"/>
    <s v="Aug"/>
    <x v="124"/>
    <n v="54"/>
    <s v="Bangalore"/>
    <x v="2"/>
    <x v="1"/>
    <n v="5"/>
    <x v="0"/>
    <n v="3970.08"/>
    <n v="5096.4799999999996"/>
    <s v="Returning"/>
    <n v="0.13"/>
    <s v="Cash"/>
    <x v="1"/>
    <x v="1"/>
    <n v="22169.687999999998"/>
    <n v="19850.400000000001"/>
    <n v="2319.2879999999968"/>
    <x v="0"/>
  </r>
  <r>
    <s v="ORD1289"/>
    <n v="1002"/>
    <x v="149"/>
    <s v="May"/>
    <x v="100"/>
    <n v="44"/>
    <s v="Mumbai"/>
    <x v="0"/>
    <x v="1"/>
    <n v="26"/>
    <x v="2"/>
    <n v="2041.42"/>
    <n v="3291.17"/>
    <s v="Returning"/>
    <n v="0.28000000000000003"/>
    <s v="Cash"/>
    <x v="0"/>
    <x v="1"/>
    <n v="61610.702399999995"/>
    <n v="53076.92"/>
    <n v="8533.7823999999964"/>
    <x v="0"/>
  </r>
  <r>
    <s v="ORD1290"/>
    <n v="1001"/>
    <x v="186"/>
    <s v="Aug"/>
    <x v="74"/>
    <n v="50"/>
    <s v="Mumbai"/>
    <x v="2"/>
    <x v="3"/>
    <n v="20"/>
    <x v="1"/>
    <n v="2153.52"/>
    <n v="2303.6999999999998"/>
    <s v="Returning"/>
    <n v="0.01"/>
    <s v="Cash"/>
    <x v="1"/>
    <x v="2"/>
    <n v="45613.26"/>
    <n v="43070.400000000001"/>
    <n v="2542.8600000000006"/>
    <x v="0"/>
  </r>
  <r>
    <s v="ORD1291"/>
    <n v="1048"/>
    <x v="187"/>
    <s v="Jul"/>
    <x v="91"/>
    <n v="21"/>
    <s v="Kolkata"/>
    <x v="4"/>
    <x v="0"/>
    <n v="6"/>
    <x v="0"/>
    <n v="1945.27"/>
    <n v="2309.4299999999998"/>
    <s v="New"/>
    <n v="0.26"/>
    <s v="Credit Card"/>
    <x v="1"/>
    <x v="0"/>
    <n v="10253.869199999999"/>
    <n v="11671.619999999999"/>
    <n v="-1417.7507999999998"/>
    <x v="2"/>
  </r>
  <r>
    <s v="ORD1292"/>
    <n v="1012"/>
    <x v="24"/>
    <s v="Nov"/>
    <x v="34"/>
    <n v="39"/>
    <s v="Chennai"/>
    <x v="4"/>
    <x v="0"/>
    <n v="6"/>
    <x v="2"/>
    <n v="3609.42"/>
    <n v="4082.62"/>
    <s v="Returning"/>
    <n v="0.3"/>
    <s v="Bank Transfer"/>
    <x v="0"/>
    <x v="1"/>
    <n v="17147.004000000001"/>
    <n v="21656.52"/>
    <n v="-4509.5159999999996"/>
    <x v="1"/>
  </r>
  <r>
    <s v="ORD1293"/>
    <n v="1069"/>
    <x v="188"/>
    <s v="Feb"/>
    <x v="146"/>
    <n v="19"/>
    <s v="Kolkata"/>
    <x v="0"/>
    <x v="1"/>
    <n v="18"/>
    <x v="0"/>
    <n v="2760.21"/>
    <n v="3219.58"/>
    <s v="New"/>
    <n v="0.27"/>
    <s v="Bank Transfer"/>
    <x v="1"/>
    <x v="1"/>
    <n v="42305.281199999998"/>
    <n v="49683.78"/>
    <n v="-7378.4988000000012"/>
    <x v="2"/>
  </r>
  <r>
    <s v="ORD1294"/>
    <n v="1037"/>
    <x v="189"/>
    <s v="Jun"/>
    <x v="149"/>
    <n v="27"/>
    <s v="Delhi"/>
    <x v="0"/>
    <x v="0"/>
    <n v="4"/>
    <x v="1"/>
    <n v="4721.7"/>
    <n v="5017.58"/>
    <s v="New"/>
    <n v="0.24"/>
    <s v="Cash"/>
    <x v="1"/>
    <x v="2"/>
    <n v="15253.4432"/>
    <n v="18886.8"/>
    <n v="-3633.3567999999996"/>
    <x v="1"/>
  </r>
  <r>
    <s v="ORD1295"/>
    <n v="1032"/>
    <x v="178"/>
    <s v="Oct"/>
    <x v="52"/>
    <n v="22"/>
    <s v="Kolkata"/>
    <x v="1"/>
    <x v="0"/>
    <n v="17"/>
    <x v="2"/>
    <n v="1291.9100000000001"/>
    <n v="1528.59"/>
    <s v="Returning"/>
    <n v="0.11"/>
    <s v="Credit Card"/>
    <x v="1"/>
    <x v="1"/>
    <n v="23127.566699999999"/>
    <n v="21962.47"/>
    <n v="1165.0966999999982"/>
    <x v="2"/>
  </r>
  <r>
    <s v="ORD1296"/>
    <n v="1009"/>
    <x v="82"/>
    <s v="Nov"/>
    <x v="150"/>
    <n v="27"/>
    <s v="Kolkata"/>
    <x v="1"/>
    <x v="0"/>
    <n v="14"/>
    <x v="1"/>
    <n v="547.79"/>
    <n v="958.76"/>
    <s v="Returning"/>
    <n v="7.0000000000000007E-2"/>
    <s v="Credit Card"/>
    <x v="1"/>
    <x v="0"/>
    <n v="12483.055199999999"/>
    <n v="7669.0599999999995"/>
    <n v="4813.9951999999994"/>
    <x v="1"/>
  </r>
  <r>
    <s v="ORD1297"/>
    <n v="1099"/>
    <x v="95"/>
    <s v="Oct"/>
    <x v="50"/>
    <n v="50"/>
    <s v="Bangalore"/>
    <x v="2"/>
    <x v="2"/>
    <n v="14"/>
    <x v="1"/>
    <n v="1996.64"/>
    <n v="2341.4699999999998"/>
    <s v="Returning"/>
    <n v="0.22"/>
    <s v="Credit Card"/>
    <x v="0"/>
    <x v="2"/>
    <n v="25568.852399999996"/>
    <n v="27952.960000000003"/>
    <n v="-2384.1076000000066"/>
    <x v="0"/>
  </r>
  <r>
    <s v="ORD1298"/>
    <n v="1019"/>
    <x v="190"/>
    <s v="May"/>
    <x v="21"/>
    <n v="55"/>
    <s v="Mumbai"/>
    <x v="0"/>
    <x v="3"/>
    <n v="13"/>
    <x v="1"/>
    <n v="3102.73"/>
    <n v="3202.68"/>
    <s v="New"/>
    <n v="0.09"/>
    <s v="Cash"/>
    <x v="1"/>
    <x v="0"/>
    <n v="37887.704399999995"/>
    <n v="40335.49"/>
    <n v="-2447.7856000000029"/>
    <x v="0"/>
  </r>
  <r>
    <s v="ORD1299"/>
    <n v="1048"/>
    <x v="191"/>
    <s v="Jan"/>
    <x v="151"/>
    <n v="30"/>
    <s v="Chennai"/>
    <x v="4"/>
    <x v="1"/>
    <n v="7"/>
    <x v="2"/>
    <n v="4310.95"/>
    <n v="4723.2"/>
    <s v="Returning"/>
    <n v="0.05"/>
    <s v="Credit Card"/>
    <x v="0"/>
    <x v="0"/>
    <n v="31409.279999999999"/>
    <n v="30176.649999999998"/>
    <n v="1232.6300000000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82B0D3-9617-43E3-87DD-C5631C0AD1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34" firstHeaderRow="1" firstDataRow="1"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axis="axisRow" showAll="0" measureFilter="1" sortType="ascending">
      <items count="153">
        <item x="17"/>
        <item x="94"/>
        <item x="114"/>
        <item x="5"/>
        <item x="27"/>
        <item x="78"/>
        <item x="26"/>
        <item x="130"/>
        <item x="57"/>
        <item x="79"/>
        <item x="121"/>
        <item x="131"/>
        <item x="16"/>
        <item x="7"/>
        <item x="69"/>
        <item x="70"/>
        <item x="136"/>
        <item x="124"/>
        <item x="97"/>
        <item x="138"/>
        <item x="40"/>
        <item x="66"/>
        <item x="55"/>
        <item x="28"/>
        <item x="38"/>
        <item x="109"/>
        <item x="72"/>
        <item x="52"/>
        <item x="93"/>
        <item x="18"/>
        <item x="37"/>
        <item x="14"/>
        <item x="21"/>
        <item x="129"/>
        <item x="127"/>
        <item x="62"/>
        <item x="41"/>
        <item x="11"/>
        <item x="64"/>
        <item x="76"/>
        <item x="151"/>
        <item x="25"/>
        <item x="68"/>
        <item x="53"/>
        <item x="101"/>
        <item x="125"/>
        <item x="56"/>
        <item x="9"/>
        <item x="60"/>
        <item x="117"/>
        <item x="1"/>
        <item x="80"/>
        <item x="116"/>
        <item x="81"/>
        <item x="105"/>
        <item x="65"/>
        <item x="147"/>
        <item x="45"/>
        <item x="106"/>
        <item x="3"/>
        <item x="23"/>
        <item x="148"/>
        <item x="86"/>
        <item x="30"/>
        <item x="44"/>
        <item x="115"/>
        <item x="144"/>
        <item x="19"/>
        <item x="2"/>
        <item x="67"/>
        <item x="39"/>
        <item x="140"/>
        <item x="77"/>
        <item x="118"/>
        <item x="90"/>
        <item x="29"/>
        <item x="128"/>
        <item x="139"/>
        <item x="61"/>
        <item x="13"/>
        <item x="87"/>
        <item x="58"/>
        <item x="110"/>
        <item x="47"/>
        <item x="51"/>
        <item x="74"/>
        <item x="123"/>
        <item x="96"/>
        <item x="75"/>
        <item x="22"/>
        <item x="24"/>
        <item x="46"/>
        <item x="120"/>
        <item x="135"/>
        <item x="82"/>
        <item x="112"/>
        <item x="98"/>
        <item x="143"/>
        <item x="133"/>
        <item x="35"/>
        <item x="92"/>
        <item x="50"/>
        <item x="111"/>
        <item x="134"/>
        <item x="132"/>
        <item x="85"/>
        <item x="43"/>
        <item x="113"/>
        <item x="4"/>
        <item x="108"/>
        <item x="122"/>
        <item x="150"/>
        <item x="142"/>
        <item x="20"/>
        <item x="95"/>
        <item x="6"/>
        <item x="33"/>
        <item x="12"/>
        <item x="32"/>
        <item x="54"/>
        <item x="15"/>
        <item x="84"/>
        <item x="48"/>
        <item x="88"/>
        <item x="10"/>
        <item x="137"/>
        <item x="145"/>
        <item x="126"/>
        <item x="102"/>
        <item x="42"/>
        <item x="36"/>
        <item x="149"/>
        <item x="59"/>
        <item x="8"/>
        <item x="91"/>
        <item x="71"/>
        <item x="103"/>
        <item x="0"/>
        <item x="141"/>
        <item x="31"/>
        <item x="83"/>
        <item x="119"/>
        <item x="146"/>
        <item x="89"/>
        <item x="107"/>
        <item x="73"/>
        <item x="100"/>
        <item x="63"/>
        <item x="104"/>
        <item x="34"/>
        <item x="49"/>
        <item x="99"/>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8"/>
    </i>
    <i>
      <x v="24"/>
    </i>
    <i>
      <x v="27"/>
    </i>
    <i>
      <x v="29"/>
    </i>
    <i>
      <x v="78"/>
    </i>
    <i>
      <x v="81"/>
    </i>
    <i>
      <x v="89"/>
    </i>
    <i>
      <x v="91"/>
    </i>
    <i>
      <x v="117"/>
    </i>
    <i>
      <x v="122"/>
    </i>
    <i t="grand">
      <x/>
    </i>
  </rowItems>
  <colItems count="1">
    <i/>
  </colItems>
  <dataFields count="1">
    <dataField name="Sum of Sales_Amount" fld="18"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E369F-1568-46ED-8046-6F7D8C7E84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20" firstHeaderRow="1" firstDataRow="1" firstDataCol="1"/>
  <pivotFields count="24">
    <pivotField dataField="1"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axis="axisRow" showAll="0">
      <items count="4">
        <item x="1"/>
        <item x="0"/>
        <item x="2"/>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CBFF7-F4DD-46D8-8E48-0DE11733A2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J11" firstHeaderRow="0" firstDataRow="1" firstDataCol="1"/>
  <pivotFields count="24">
    <pivotField dataField="1"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2"/>
  </colFields>
  <colItems count="2">
    <i>
      <x/>
    </i>
    <i i="1">
      <x v="1"/>
    </i>
  </colItems>
  <dataFields count="2">
    <dataField name="Count of Order_ID" fld="0" subtotal="count" baseField="0" baseItem="0"/>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06FFF-04BE-43C0-B9BA-1C87A84802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pivotField showAll="0"/>
    <pivotField showAll="0"/>
    <pivotField axis="axisRow" showAll="0" measureFilter="1">
      <items count="5">
        <item x="2"/>
        <item x="3"/>
        <item x="1"/>
        <item x="0"/>
        <item t="default"/>
      </items>
    </pivotField>
    <pivotField showAll="0"/>
    <pivotField showAll="0"/>
    <pivotField showAll="0"/>
    <pivotField numFmtId="9"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3"/>
    </i>
    <i t="grand">
      <x/>
    </i>
  </rowItems>
  <colItems count="1">
    <i/>
  </colItems>
  <dataFields count="1">
    <dataField name="Sum of Sales_Amount" fld="18" baseField="0" baseItem="0"/>
  </dataFields>
  <pivotTableStyleInfo name="PivotStyleLight16" showRowHeaders="1" showColHeaders="1" showRowStripes="0" showColStripes="0" showLastColumn="1"/>
  <filters count="1">
    <filter fld="10" type="count" evalOrder="-1" id="2"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F022F0-AD3A-45AD-85B0-E6F48704DE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0" firstHeaderRow="1" firstDataRow="1"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numFmtId="9"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2E484-E819-4BDF-B639-A5B987BCB4E7}"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24:K30" firstHeaderRow="1" firstDataRow="2"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items count="6">
        <item x="3"/>
        <item x="0"/>
        <item x="2"/>
        <item x="1"/>
        <item x="4"/>
        <item t="default"/>
      </items>
    </pivotField>
    <pivotField axis="axisRow" showAll="0">
      <items count="5">
        <item x="0"/>
        <item x="2"/>
        <item x="3"/>
        <item x="1"/>
        <item t="default"/>
      </items>
    </pivotField>
    <pivotField showAll="0"/>
    <pivotField axis="axisCol" showAll="0" sortType="descending">
      <items count="5">
        <item x="0"/>
        <item x="1"/>
        <item x="3"/>
        <item x="2"/>
        <item t="default"/>
      </items>
    </pivotField>
    <pivotField showAll="0"/>
    <pivotField showAll="0"/>
    <pivotField showAll="0"/>
    <pivotField numFmtId="9"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10"/>
  </colFields>
  <colItems count="4">
    <i>
      <x/>
    </i>
    <i>
      <x v="1"/>
    </i>
    <i>
      <x v="2"/>
    </i>
    <i>
      <x v="3"/>
    </i>
  </colItems>
  <dataFields count="1">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39627D-0BF7-4317-B785-413D99E816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7" firstHeaderRow="1" firstDataRow="1"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showAll="0"/>
    <pivotField dataField="1" showAll="0"/>
    <pivotField showAll="0"/>
    <pivotField showAll="0"/>
    <pivotField axis="axisRow" showAll="0">
      <items count="4">
        <item x="1"/>
        <item x="0"/>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4">
    <i>
      <x/>
    </i>
    <i>
      <x v="1"/>
    </i>
    <i>
      <x v="2"/>
    </i>
    <i t="grand">
      <x/>
    </i>
  </rowItems>
  <colItems count="1">
    <i/>
  </colItems>
  <dataFields count="1">
    <dataField name="Sum of Sales_Amount" fld="18"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1" count="1" selected="0">
            <x v="0"/>
          </reference>
        </references>
      </pivotArea>
    </chartFormat>
    <chartFormat chart="5" format="10">
      <pivotArea type="data" outline="0" fieldPosition="0">
        <references count="2">
          <reference field="4294967294" count="1" selected="0">
            <x v="0"/>
          </reference>
          <reference field="21" count="1" selected="0">
            <x v="1"/>
          </reference>
        </references>
      </pivotArea>
    </chartFormat>
    <chartFormat chart="5" format="1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D5A0F1-402F-4E4F-8D3C-2C2B1DD2EE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2:I12" firstHeaderRow="1" firstDataRow="1"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axis="axisRow" showAll="0">
      <items count="3">
        <item x="0"/>
        <item x="1"/>
        <item t="default"/>
      </items>
    </pivotField>
    <pivotField axis="axisRow" showAll="0">
      <items count="4">
        <item x="1"/>
        <item x="0"/>
        <item x="2"/>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17"/>
    <field x="16"/>
  </rowFields>
  <rowItems count="10">
    <i>
      <x/>
    </i>
    <i r="1">
      <x/>
    </i>
    <i r="1">
      <x v="1"/>
    </i>
    <i>
      <x v="1"/>
    </i>
    <i r="1">
      <x/>
    </i>
    <i r="1">
      <x v="1"/>
    </i>
    <i>
      <x v="2"/>
    </i>
    <i r="1">
      <x/>
    </i>
    <i r="1">
      <x v="1"/>
    </i>
    <i t="grand">
      <x/>
    </i>
  </rowItems>
  <colItems count="1">
    <i/>
  </colItems>
  <dataFields count="1">
    <dataField name="Sum of Sales_Amount" fld="18" showDataAs="percentOfTotal" baseField="0" baseItem="0" numFmtId="1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A0F629-C351-45BF-BD98-B064A966492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C15" firstHeaderRow="0" firstDataRow="1" firstDataCol="1"/>
  <pivotFields count="24">
    <pivotField dataField="1" showAll="0"/>
    <pivotField showAll="0"/>
    <pivotField axis="axisRow"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items count="6">
        <item x="3"/>
        <item x="0"/>
        <item x="2"/>
        <item x="1"/>
        <item x="4"/>
        <item t="default"/>
      </items>
    </pivotField>
    <pivotField showAll="0"/>
    <pivotField showAll="0"/>
    <pivotField showAll="0">
      <items count="5">
        <item x="2"/>
        <item x="3"/>
        <item x="1"/>
        <item x="0"/>
        <item t="default"/>
      </items>
    </pivotField>
    <pivotField showAll="0"/>
    <pivotField showAll="0"/>
    <pivotField showAll="0"/>
    <pivotField numFmtId="9" showAll="0"/>
    <pivotField showAll="0"/>
    <pivotField showAll="0"/>
    <pivotField showAll="0"/>
    <pivotField dataField="1" showAll="0"/>
    <pivotField showAll="0"/>
    <pivotField showAll="0"/>
    <pivotField showAll="0">
      <items count="4">
        <item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3"/>
    <field x="2"/>
  </rowFields>
  <rowItems count="12">
    <i>
      <x v="1"/>
    </i>
    <i>
      <x v="2"/>
    </i>
    <i>
      <x v="3"/>
    </i>
    <i>
      <x v="4"/>
    </i>
    <i>
      <x v="5"/>
    </i>
    <i>
      <x v="6"/>
    </i>
    <i>
      <x v="7"/>
    </i>
    <i>
      <x v="8"/>
    </i>
    <i>
      <x v="9"/>
    </i>
    <i>
      <x v="10"/>
    </i>
    <i>
      <x v="11"/>
    </i>
    <i>
      <x v="12"/>
    </i>
  </rowItems>
  <colFields count="1">
    <field x="-2"/>
  </colFields>
  <colItems count="2">
    <i>
      <x/>
    </i>
    <i i="1">
      <x v="1"/>
    </i>
  </colItems>
  <dataFields count="2">
    <dataField name="Sum of Sales_Amount" fld="18" baseField="0" baseItem="0"/>
    <dataField name="Count of Ord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E7D420-E23D-425B-B596-4504BEE08D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0:F14" firstHeaderRow="1" firstDataRow="1" firstDataCol="1"/>
  <pivotFields count="24">
    <pivotField dataField="1"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axis="axisRow" showAll="0">
      <items count="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4">
    <i>
      <x/>
    </i>
    <i>
      <x v="1"/>
    </i>
    <i>
      <x v="2"/>
    </i>
    <i t="grand">
      <x/>
    </i>
  </rowItems>
  <colItems count="1">
    <i/>
  </colItems>
  <dataFields count="1">
    <dataField name="Count of Order_ID" fld="0" subtotal="count" baseField="0" baseItem="0"/>
  </dataField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7" count="1" selected="0">
            <x v="0"/>
          </reference>
        </references>
      </pivotArea>
    </chartFormat>
    <chartFormat chart="2" format="6">
      <pivotArea type="data" outline="0" fieldPosition="0">
        <references count="2">
          <reference field="4294967294" count="1" selected="0">
            <x v="0"/>
          </reference>
          <reference field="17" count="1" selected="0">
            <x v="1"/>
          </reference>
        </references>
      </pivotArea>
    </chartFormat>
    <chartFormat chart="2" format="7">
      <pivotArea type="data" outline="0" fieldPosition="0">
        <references count="2">
          <reference field="4294967294" count="1" selected="0">
            <x v="0"/>
          </reference>
          <reference field="1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7" count="1" selected="0">
            <x v="0"/>
          </reference>
        </references>
      </pivotArea>
    </chartFormat>
    <chartFormat chart="10" format="10">
      <pivotArea type="data" outline="0" fieldPosition="0">
        <references count="2">
          <reference field="4294967294" count="1" selected="0">
            <x v="0"/>
          </reference>
          <reference field="17" count="1" selected="0">
            <x v="1"/>
          </reference>
        </references>
      </pivotArea>
    </chartFormat>
    <chartFormat chart="10"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476453-5A24-4669-AD79-DBCE174BE58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26:E39" firstHeaderRow="1" firstDataRow="2"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showAll="0"/>
    <pivotField showAll="0"/>
    <pivotField showAll="0"/>
    <pivotField axis="axisCol" showAll="0">
      <items count="5">
        <item x="2"/>
        <item x="3"/>
        <item x="1"/>
        <item x="0"/>
        <item t="default"/>
      </items>
    </pivotField>
    <pivotField showAll="0"/>
    <pivotField showAll="0"/>
    <pivotField showAll="0"/>
    <pivotField numFmtId="9" showAll="0"/>
    <pivotField showAll="0"/>
    <pivotField showAll="0"/>
    <pivotField showAll="0"/>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23"/>
  </rowFields>
  <rowItems count="12">
    <i>
      <x v="1"/>
    </i>
    <i>
      <x v="2"/>
    </i>
    <i>
      <x v="3"/>
    </i>
    <i>
      <x v="4"/>
    </i>
    <i>
      <x v="5"/>
    </i>
    <i>
      <x v="6"/>
    </i>
    <i>
      <x v="7"/>
    </i>
    <i>
      <x v="8"/>
    </i>
    <i>
      <x v="9"/>
    </i>
    <i>
      <x v="10"/>
    </i>
    <i>
      <x v="11"/>
    </i>
    <i>
      <x v="12"/>
    </i>
  </rowItems>
  <colFields count="1">
    <field x="10"/>
  </colFields>
  <colItems count="4">
    <i>
      <x/>
    </i>
    <i>
      <x v="1"/>
    </i>
    <i>
      <x v="2"/>
    </i>
    <i>
      <x v="3"/>
    </i>
  </colItems>
  <dataFields count="1">
    <dataField name="Sum of Profit" fld="20" baseField="0" baseItem="0"/>
  </dataFields>
  <chartFormats count="8">
    <chartFormat chart="16" format="8" series="1">
      <pivotArea type="data" outline="0" fieldPosition="0">
        <references count="2">
          <reference field="4294967294" count="1" selected="0">
            <x v="0"/>
          </reference>
          <reference field="10" count="1" selected="0">
            <x v="0"/>
          </reference>
        </references>
      </pivotArea>
    </chartFormat>
    <chartFormat chart="16" format="9" series="1">
      <pivotArea type="data" outline="0" fieldPosition="0">
        <references count="2">
          <reference field="4294967294" count="1" selected="0">
            <x v="0"/>
          </reference>
          <reference field="10" count="1" selected="0">
            <x v="1"/>
          </reference>
        </references>
      </pivotArea>
    </chartFormat>
    <chartFormat chart="16" format="10" series="1">
      <pivotArea type="data" outline="0" fieldPosition="0">
        <references count="2">
          <reference field="4294967294" count="1" selected="0">
            <x v="0"/>
          </reference>
          <reference field="10" count="1" selected="0">
            <x v="2"/>
          </reference>
        </references>
      </pivotArea>
    </chartFormat>
    <chartFormat chart="16" format="11" series="1">
      <pivotArea type="data" outline="0" fieldPosition="0">
        <references count="2">
          <reference field="4294967294" count="1" selected="0">
            <x v="0"/>
          </reference>
          <reference field="10" count="1" selected="0">
            <x v="3"/>
          </reference>
        </references>
      </pivotArea>
    </chartFormat>
    <chartFormat chart="24" format="8" series="1">
      <pivotArea type="data" outline="0" fieldPosition="0">
        <references count="2">
          <reference field="4294967294" count="1" selected="0">
            <x v="0"/>
          </reference>
          <reference field="10" count="1" selected="0">
            <x v="0"/>
          </reference>
        </references>
      </pivotArea>
    </chartFormat>
    <chartFormat chart="24" format="9" series="1">
      <pivotArea type="data" outline="0" fieldPosition="0">
        <references count="2">
          <reference field="4294967294" count="1" selected="0">
            <x v="0"/>
          </reference>
          <reference field="10" count="1" selected="0">
            <x v="1"/>
          </reference>
        </references>
      </pivotArea>
    </chartFormat>
    <chartFormat chart="24" format="10" series="1">
      <pivotArea type="data" outline="0" fieldPosition="0">
        <references count="2">
          <reference field="4294967294" count="1" selected="0">
            <x v="0"/>
          </reference>
          <reference field="10" count="1" selected="0">
            <x v="2"/>
          </reference>
        </references>
      </pivotArea>
    </chartFormat>
    <chartFormat chart="24"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BACB4A-75C5-47C6-8E8E-F19A94F5A7A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5:I28" firstHeaderRow="1" firstDataRow="1"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dataField="1"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23"/>
  </rowFields>
  <rowItems count="13">
    <i>
      <x v="1"/>
    </i>
    <i>
      <x v="2"/>
    </i>
    <i>
      <x v="3"/>
    </i>
    <i>
      <x v="4"/>
    </i>
    <i>
      <x v="5"/>
    </i>
    <i>
      <x v="6"/>
    </i>
    <i>
      <x v="7"/>
    </i>
    <i>
      <x v="8"/>
    </i>
    <i>
      <x v="9"/>
    </i>
    <i>
      <x v="10"/>
    </i>
    <i>
      <x v="11"/>
    </i>
    <i>
      <x v="12"/>
    </i>
    <i t="grand">
      <x/>
    </i>
  </rowItems>
  <colItems count="1">
    <i/>
  </colItems>
  <dataFields count="1">
    <dataField name="Count of Customer_Name" fld="4"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F74985-4D57-4694-8462-DAE6CC12444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16:F21" firstHeaderRow="1" firstDataRow="1" firstDataCol="1"/>
  <pivotFields count="24">
    <pivotField showAll="0"/>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x v="4"/>
    </i>
  </rowItems>
  <colItems count="1">
    <i/>
  </colItems>
  <dataFields count="1">
    <dataField name="Sum of Sales_Amount"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B28283F-1A87-42BD-866D-7173068937B3}" sourceName="State">
  <pivotTables>
    <pivotTable tabId="9" name="PivotTable1"/>
    <pivotTable tabId="7" name="PivotTable4"/>
    <pivotTable tabId="7" name="PivotTable5"/>
    <pivotTable tabId="9" name="PivotTable2"/>
    <pivotTable tabId="9" name="PivotTable3"/>
    <pivotTable tabId="9" name="PivotTable4"/>
    <pivotTable tabId="9" name="PivotTable7"/>
    <pivotTable tabId="9" name="PivotTable8"/>
  </pivotTables>
  <data>
    <tabular pivotCacheId="1859237191">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8883318-CC5E-4023-AD9F-11E054ECC6AD}" sourceName="Product_Category">
  <pivotTables>
    <pivotTable tabId="9" name="PivotTable1"/>
  </pivotTables>
  <data>
    <tabular pivotCacheId="185923719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A5D5DCD-CDE2-483E-8630-EA05F5AEC656}" sourceName="Age_Group">
  <pivotTables>
    <pivotTable tabId="9" name="PivotTable1"/>
  </pivotTables>
  <data>
    <tabular pivotCacheId="185923719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0998A516-0FAA-4D24-9B50-431492C3E5B5}" sourceName="Months (Sale_Date)">
  <pivotTables>
    <pivotTable tabId="9" name="PivotTable7"/>
    <pivotTable tabId="9" name="PivotTable1"/>
    <pivotTable tabId="9" name="PivotTable2"/>
    <pivotTable tabId="9" name="PivotTable3"/>
    <pivotTable tabId="9" name="PivotTable4"/>
    <pivotTable tabId="9" name="PivotTable8"/>
    <pivotTable tabId="9" name="PivotTable9"/>
  </pivotTables>
  <data>
    <tabular pivotCacheId="185923719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35CFD81-A72B-4067-8A7E-4BCF73D378EF}" cache="Slicer_State" caption="State" rowHeight="241300"/>
  <slicer name="Product_Category" xr10:uid="{C5FBF945-1A8C-4547-95C5-5AA18C82B4BE}" cache="Slicer_Product_Category" caption="Product_Category" rowHeight="241300"/>
  <slicer name="Age_Group" xr10:uid="{22F214C6-19E7-41E0-A57F-B81A117B40B1}" cache="Slicer_Age_Group" caption="Age_Group" rowHeight="241300"/>
  <slicer name="Months (Sale_Date)" xr10:uid="{EC641395-4012-4FEF-988A-C095D0B30575}" cache="Slicer_Months__Sale_Date" caption="Months (Sale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DD3863-8E8D-48A0-A1B8-E99F5EA90E04}" name="Table6" displayName="Table6" ref="A3:M303" totalsRowShown="0" headerRowDxfId="31">
  <autoFilter ref="A3:M303" xr:uid="{F5DD3863-8E8D-48A0-A1B8-E99F5EA90E04}">
    <filterColumn colId="9">
      <filters>
        <filter val="Delivered"/>
      </filters>
    </filterColumn>
    <filterColumn colId="12">
      <customFilters>
        <customFilter operator="greaterThan" val="0"/>
      </customFilters>
    </filterColumn>
  </autoFilter>
  <sortState xmlns:xlrd2="http://schemas.microsoft.com/office/spreadsheetml/2017/richdata2" ref="A15:M288">
    <sortCondition descending="1" ref="K3:K303"/>
  </sortState>
  <tableColumns count="13">
    <tableColumn id="1" xr3:uid="{2AAAE274-457B-476F-AB5F-4D55141DB4A1}" name="Order_ID"/>
    <tableColumn id="2" xr3:uid="{51F65A2A-9540-4791-B2A8-8F2ADCE72BD8}" name="Quantity_Sold"/>
    <tableColumn id="3" xr3:uid="{4C22017F-588C-4AB0-A725-CB4FD1F801E4}" name="Product_Category" dataDxfId="33"/>
    <tableColumn id="4" xr3:uid="{174B6E87-1CD8-4785-8F5C-15C72CA43CE9}" name="Unit_Cost"/>
    <tableColumn id="5" xr3:uid="{3C784687-646F-4F77-A6C9-691B8AB4117B}" name="Unit_Price"/>
    <tableColumn id="6" xr3:uid="{8D35A580-DF97-4FBA-8527-C7DDD0AF0C40}" name="Customer_Type"/>
    <tableColumn id="7" xr3:uid="{5E09D5DD-CB6E-47C4-A0DC-F491459AABEF}" name="Discount" dataDxfId="32" dataCellStyle="Percent"/>
    <tableColumn id="8" xr3:uid="{11B75D50-75B4-453E-BEB2-F876A68B82AE}" name="Payment_Method"/>
    <tableColumn id="9" xr3:uid="{7B37FCD8-9996-4407-AA1A-F51EB06FC7B2}" name="Sales_Channel"/>
    <tableColumn id="10" xr3:uid="{117CB711-9508-4538-91BD-A5CFE052A122}" name="Order_Status"/>
    <tableColumn id="11" xr3:uid="{3BD4A5A4-7987-45D8-857F-8815EDA8F3DB}" name="Sales_Amount">
      <calculatedColumnFormula>B4*E4*(1-G4)</calculatedColumnFormula>
    </tableColumn>
    <tableColumn id="12" xr3:uid="{F2FF72C4-A182-4FB9-953F-C29E8E1B6DCF}" name="Cost_Price">
      <calculatedColumnFormula>D4*B4</calculatedColumnFormula>
    </tableColumn>
    <tableColumn id="13" xr3:uid="{D6283F1D-E55B-47CB-8F77-ECD46E31A7FA}" name="Profit">
      <calculatedColumnFormula>K4-L4</calculatedColumnFormula>
    </tableColumn>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0138EA-67EA-429E-A244-91DF824FF28F}" name="Table8" displayName="Table8" ref="A1:P301" totalsRowShown="0" headerRowDxfId="21" tableBorderDxfId="26">
  <autoFilter ref="A1:P301" xr:uid="{F80138EA-67EA-429E-A244-91DF824FF28F}"/>
  <tableColumns count="16">
    <tableColumn id="1" xr3:uid="{2081EA7A-8B87-437D-8569-EE5E6030C581}" name="Order_ID"/>
    <tableColumn id="2" xr3:uid="{5A72E4E5-E854-4C23-9534-93E5BED263DD}" name="Sale_Date" dataDxfId="25"/>
    <tableColumn id="3" xr3:uid="{D9642E21-9D3C-400D-B823-95FE40CC895D}" name="Month" dataDxfId="24">
      <calculatedColumnFormula>TEXT(B2,"mmm")</calculatedColumnFormula>
    </tableColumn>
    <tableColumn id="4" xr3:uid="{A6385895-FA0A-4D17-91EA-975D148D9F4D}" name="State"/>
    <tableColumn id="5" xr3:uid="{71A42CF0-A002-47E1-8181-C713358CB86E}" name="Quantity_Sold"/>
    <tableColumn id="6" xr3:uid="{B8A575C4-ACA8-441C-94F4-0D6698F4B8AD}" name="Product_Category" dataDxfId="23"/>
    <tableColumn id="7" xr3:uid="{D93C3236-F6CA-482A-BABB-81ED25393A46}" name="Unit_Cost"/>
    <tableColumn id="8" xr3:uid="{CB377B7E-0D7A-4F62-8E09-3E675F43AFC8}" name="Unit_Price"/>
    <tableColumn id="9" xr3:uid="{84CDBB0F-7D8F-48EA-9571-D60BDEA881AE}" name="Customer_Type"/>
    <tableColumn id="10" xr3:uid="{C07F9E44-D32D-4ADB-AD3E-08250C2ECB91}" name="Discount" dataDxfId="22" dataCellStyle="Percent"/>
    <tableColumn id="11" xr3:uid="{16509A58-CF96-4926-898E-98F408FE9C11}" name="Payment_Method"/>
    <tableColumn id="12" xr3:uid="{E0C55C13-A5B3-48F3-9FA3-508AD484EC82}" name="Sales_Channel"/>
    <tableColumn id="13" xr3:uid="{14D00D06-2C26-424B-801B-4F3B26050A54}" name="Order_Status"/>
    <tableColumn id="14" xr3:uid="{66FF4815-34E0-40AD-8FBD-FDC57082E18B}" name="Sales_Amount">
      <calculatedColumnFormula>E2*H2*(1-J2)</calculatedColumnFormula>
    </tableColumn>
    <tableColumn id="15" xr3:uid="{B5AEDDAB-05A5-4F24-8D89-91279098B608}" name="Cost_Price">
      <calculatedColumnFormula>G2*E2</calculatedColumnFormula>
    </tableColumn>
    <tableColumn id="16" xr3:uid="{52A8B176-A018-414D-9D28-ECC814DD10D8}" name="Profit">
      <calculatedColumnFormula>N2-O2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85EA-3FF2-4C42-9E33-ABCAB2ED6AF9}">
  <sheetPr>
    <tabColor theme="5" tint="0.39997558519241921"/>
  </sheetPr>
  <dimension ref="A1:V304"/>
  <sheetViews>
    <sheetView tabSelected="1" topLeftCell="N1" workbookViewId="0">
      <selection activeCell="X3" sqref="X3"/>
    </sheetView>
  </sheetViews>
  <sheetFormatPr defaultRowHeight="14.5" x14ac:dyDescent="0.35"/>
  <cols>
    <col min="1" max="1" width="8.54296875" bestFit="1" customWidth="1"/>
    <col min="2" max="3" width="10.08984375" bestFit="1" customWidth="1"/>
    <col min="4" max="4" width="10.08984375" customWidth="1"/>
    <col min="5" max="5" width="18.08984375" bestFit="1" customWidth="1"/>
    <col min="6" max="6" width="3.90625" bestFit="1" customWidth="1"/>
    <col min="7" max="7" width="9.1796875" bestFit="1" customWidth="1"/>
    <col min="8" max="8" width="11.6328125" bestFit="1" customWidth="1"/>
    <col min="9" max="9" width="6.453125" bestFit="1" customWidth="1"/>
    <col min="10" max="10" width="12.54296875" bestFit="1" customWidth="1"/>
    <col min="11" max="11" width="15.7265625" bestFit="1" customWidth="1"/>
    <col min="12" max="12" width="8.90625" bestFit="1" customWidth="1"/>
    <col min="13" max="13" width="9.26953125" bestFit="1" customWidth="1"/>
    <col min="14" max="14" width="14" bestFit="1" customWidth="1"/>
    <col min="15" max="15" width="8.08984375" style="30" bestFit="1" customWidth="1"/>
    <col min="16" max="16" width="15.81640625" bestFit="1" customWidth="1"/>
    <col min="17" max="17" width="12.90625" bestFit="1" customWidth="1"/>
    <col min="18" max="18" width="11.81640625" bestFit="1" customWidth="1"/>
    <col min="19" max="19" width="12.7265625" bestFit="1" customWidth="1"/>
    <col min="20" max="20" width="12.7265625" customWidth="1"/>
    <col min="21" max="21" width="8.81640625" bestFit="1" customWidth="1"/>
    <col min="22" max="22" width="10.1796875" bestFit="1" customWidth="1"/>
  </cols>
  <sheetData>
    <row r="1" spans="1:22" s="2" customFormat="1" x14ac:dyDescent="0.35">
      <c r="A1" s="2" t="s">
        <v>0</v>
      </c>
      <c r="B1" s="2" t="s">
        <v>1</v>
      </c>
      <c r="C1" s="2" t="s">
        <v>2</v>
      </c>
      <c r="D1" s="6" t="s">
        <v>538</v>
      </c>
      <c r="E1" s="2" t="s">
        <v>3</v>
      </c>
      <c r="F1" s="2" t="s">
        <v>4</v>
      </c>
      <c r="G1" s="2" t="s">
        <v>5</v>
      </c>
      <c r="H1" s="2" t="s">
        <v>6</v>
      </c>
      <c r="I1" s="2" t="s">
        <v>7</v>
      </c>
      <c r="J1" s="2" t="s">
        <v>8</v>
      </c>
      <c r="K1" s="3" t="s">
        <v>9</v>
      </c>
      <c r="L1" s="2" t="s">
        <v>10</v>
      </c>
      <c r="M1" s="2" t="s">
        <v>11</v>
      </c>
      <c r="N1" s="2" t="s">
        <v>12</v>
      </c>
      <c r="O1" s="29" t="s">
        <v>13</v>
      </c>
      <c r="P1" s="2" t="s">
        <v>14</v>
      </c>
      <c r="Q1" s="2" t="s">
        <v>15</v>
      </c>
      <c r="R1" s="2" t="s">
        <v>16</v>
      </c>
      <c r="S1" s="6" t="s">
        <v>17</v>
      </c>
      <c r="T1" s="6" t="s">
        <v>558</v>
      </c>
      <c r="U1" s="6" t="s">
        <v>18</v>
      </c>
      <c r="V1" s="6" t="s">
        <v>522</v>
      </c>
    </row>
    <row r="2" spans="1:22" x14ac:dyDescent="0.35">
      <c r="A2" t="s">
        <v>19</v>
      </c>
      <c r="B2">
        <v>1052</v>
      </c>
      <c r="C2" s="1">
        <v>44960</v>
      </c>
      <c r="D2" s="1" t="str">
        <f>TEXT(C2,"mmm")</f>
        <v>Feb</v>
      </c>
      <c r="E2" t="s">
        <v>20</v>
      </c>
      <c r="F2">
        <v>55</v>
      </c>
      <c r="G2" t="s">
        <v>21</v>
      </c>
      <c r="H2" t="s">
        <v>22</v>
      </c>
      <c r="I2" t="s">
        <v>23</v>
      </c>
      <c r="J2">
        <v>18</v>
      </c>
      <c r="K2" s="4" t="s">
        <v>24</v>
      </c>
      <c r="L2">
        <v>152.75</v>
      </c>
      <c r="M2">
        <v>267.22000000000003</v>
      </c>
      <c r="N2" t="s">
        <v>25</v>
      </c>
      <c r="O2" s="30">
        <v>0.09</v>
      </c>
      <c r="P2" t="s">
        <v>26</v>
      </c>
      <c r="Q2" t="s">
        <v>27</v>
      </c>
      <c r="R2" t="s">
        <v>28</v>
      </c>
      <c r="S2">
        <f>J2*M2*(1-O2)</f>
        <v>4377.0636000000013</v>
      </c>
      <c r="T2">
        <f>L2*J2</f>
        <v>2749.5</v>
      </c>
      <c r="U2">
        <f>S2-T2</f>
        <v>1627.5636000000013</v>
      </c>
      <c r="V2" t="str">
        <f>_xlfn.IFS(
F2&lt;25,"Young",
F2&lt;=40,"Adult",
F2&gt;40,"Senior"
)</f>
        <v>Senior</v>
      </c>
    </row>
    <row r="3" spans="1:22" x14ac:dyDescent="0.35">
      <c r="A3" t="s">
        <v>29</v>
      </c>
      <c r="B3">
        <v>1093</v>
      </c>
      <c r="C3" s="1">
        <v>45037</v>
      </c>
      <c r="D3" s="1" t="str">
        <f t="shared" ref="D3:D66" si="0">TEXT(C3,"mmm")</f>
        <v>Apr</v>
      </c>
      <c r="E3" t="s">
        <v>30</v>
      </c>
      <c r="F3">
        <v>50</v>
      </c>
      <c r="G3" t="s">
        <v>31</v>
      </c>
      <c r="H3" t="s">
        <v>32</v>
      </c>
      <c r="I3" t="s">
        <v>33</v>
      </c>
      <c r="J3">
        <v>17</v>
      </c>
      <c r="K3" s="4" t="s">
        <v>24</v>
      </c>
      <c r="L3">
        <v>3816.39</v>
      </c>
      <c r="M3">
        <v>4209.4399999999996</v>
      </c>
      <c r="N3" t="s">
        <v>25</v>
      </c>
      <c r="O3" s="30">
        <v>0.1</v>
      </c>
      <c r="P3" t="s">
        <v>26</v>
      </c>
      <c r="Q3" t="s">
        <v>34</v>
      </c>
      <c r="R3" t="s">
        <v>35</v>
      </c>
      <c r="S3">
        <f t="shared" ref="S3:S66" si="1">J3*M3*(1-O3)</f>
        <v>64404.432000000001</v>
      </c>
      <c r="T3">
        <f t="shared" ref="T3:T66" si="2">L3*J3</f>
        <v>64878.63</v>
      </c>
      <c r="U3">
        <f t="shared" ref="U3:U66" si="3">S3-T3</f>
        <v>-474.19799999999668</v>
      </c>
      <c r="V3" t="str">
        <f t="shared" ref="V3:V66" si="4">_xlfn.IFS(
F3&lt;25,"Young",
F3&lt;=40,"Adult",
F3&gt;40,"Senior"
)</f>
        <v>Senior</v>
      </c>
    </row>
    <row r="4" spans="1:22" x14ac:dyDescent="0.35">
      <c r="A4" t="s">
        <v>36</v>
      </c>
      <c r="B4">
        <v>1015</v>
      </c>
      <c r="C4" s="1">
        <v>45190</v>
      </c>
      <c r="D4" s="1" t="str">
        <f t="shared" si="0"/>
        <v>Sep</v>
      </c>
      <c r="E4" t="s">
        <v>37</v>
      </c>
      <c r="F4">
        <v>41</v>
      </c>
      <c r="G4" t="s">
        <v>21</v>
      </c>
      <c r="H4" t="s">
        <v>38</v>
      </c>
      <c r="I4" t="s">
        <v>23</v>
      </c>
      <c r="J4">
        <v>30</v>
      </c>
      <c r="K4" s="4" t="s">
        <v>39</v>
      </c>
      <c r="L4">
        <v>261.56</v>
      </c>
      <c r="M4">
        <v>371.4</v>
      </c>
      <c r="N4" t="s">
        <v>25</v>
      </c>
      <c r="O4" s="30">
        <v>0.2</v>
      </c>
      <c r="P4" t="s">
        <v>40</v>
      </c>
      <c r="Q4" t="s">
        <v>34</v>
      </c>
      <c r="R4" t="s">
        <v>41</v>
      </c>
      <c r="S4">
        <f t="shared" si="1"/>
        <v>8913.6</v>
      </c>
      <c r="T4">
        <f t="shared" si="2"/>
        <v>7846.8</v>
      </c>
      <c r="U4">
        <f t="shared" si="3"/>
        <v>1066.8000000000002</v>
      </c>
      <c r="V4" t="str">
        <f t="shared" si="4"/>
        <v>Senior</v>
      </c>
    </row>
    <row r="5" spans="1:22" x14ac:dyDescent="0.35">
      <c r="A5" t="s">
        <v>42</v>
      </c>
      <c r="B5">
        <v>1072</v>
      </c>
      <c r="C5" s="1">
        <v>45162</v>
      </c>
      <c r="D5" s="1" t="str">
        <f t="shared" si="0"/>
        <v>Aug</v>
      </c>
      <c r="E5" t="s">
        <v>43</v>
      </c>
      <c r="F5">
        <v>32</v>
      </c>
      <c r="G5" t="s">
        <v>31</v>
      </c>
      <c r="H5" t="s">
        <v>32</v>
      </c>
      <c r="I5" t="s">
        <v>44</v>
      </c>
      <c r="J5">
        <v>39</v>
      </c>
      <c r="K5" s="4" t="s">
        <v>45</v>
      </c>
      <c r="L5">
        <v>4330.03</v>
      </c>
      <c r="M5">
        <v>4467.75</v>
      </c>
      <c r="N5" t="s">
        <v>46</v>
      </c>
      <c r="O5" s="30">
        <v>0.02</v>
      </c>
      <c r="P5" t="s">
        <v>47</v>
      </c>
      <c r="Q5" t="s">
        <v>34</v>
      </c>
      <c r="R5" t="s">
        <v>28</v>
      </c>
      <c r="S5">
        <f t="shared" si="1"/>
        <v>170757.405</v>
      </c>
      <c r="T5">
        <f t="shared" si="2"/>
        <v>168871.16999999998</v>
      </c>
      <c r="U5">
        <f t="shared" si="3"/>
        <v>1886.2350000000151</v>
      </c>
      <c r="V5" t="str">
        <f t="shared" si="4"/>
        <v>Adult</v>
      </c>
    </row>
    <row r="6" spans="1:22" x14ac:dyDescent="0.35">
      <c r="A6" t="s">
        <v>48</v>
      </c>
      <c r="B6">
        <v>1061</v>
      </c>
      <c r="C6" s="1">
        <v>45009</v>
      </c>
      <c r="D6" s="1" t="str">
        <f t="shared" si="0"/>
        <v>Mar</v>
      </c>
      <c r="E6" t="s">
        <v>49</v>
      </c>
      <c r="F6">
        <v>47</v>
      </c>
      <c r="G6" t="s">
        <v>31</v>
      </c>
      <c r="H6" t="s">
        <v>32</v>
      </c>
      <c r="I6" t="s">
        <v>50</v>
      </c>
      <c r="J6">
        <v>13</v>
      </c>
      <c r="K6" s="4" t="s">
        <v>51</v>
      </c>
      <c r="L6">
        <v>637.37</v>
      </c>
      <c r="M6">
        <v>692.71</v>
      </c>
      <c r="N6" t="s">
        <v>46</v>
      </c>
      <c r="O6" s="30">
        <v>0.08</v>
      </c>
      <c r="P6" t="s">
        <v>47</v>
      </c>
      <c r="Q6" t="s">
        <v>34</v>
      </c>
      <c r="R6" t="s">
        <v>41</v>
      </c>
      <c r="S6">
        <f t="shared" si="1"/>
        <v>8284.8115999999991</v>
      </c>
      <c r="T6">
        <f t="shared" si="2"/>
        <v>8285.81</v>
      </c>
      <c r="U6">
        <f t="shared" si="3"/>
        <v>-0.99840000000040163</v>
      </c>
      <c r="V6" t="str">
        <f t="shared" si="4"/>
        <v>Senior</v>
      </c>
    </row>
    <row r="7" spans="1:22" x14ac:dyDescent="0.35">
      <c r="A7" t="s">
        <v>52</v>
      </c>
      <c r="B7">
        <v>1021</v>
      </c>
      <c r="C7" s="1">
        <v>44968</v>
      </c>
      <c r="D7" s="1" t="str">
        <f t="shared" si="0"/>
        <v>Feb</v>
      </c>
      <c r="E7" t="s">
        <v>53</v>
      </c>
      <c r="F7">
        <v>59</v>
      </c>
      <c r="G7" t="s">
        <v>31</v>
      </c>
      <c r="H7" t="s">
        <v>54</v>
      </c>
      <c r="I7" t="s">
        <v>44</v>
      </c>
      <c r="J7">
        <v>32</v>
      </c>
      <c r="K7" s="4" t="s">
        <v>39</v>
      </c>
      <c r="L7">
        <v>900.79</v>
      </c>
      <c r="M7">
        <v>1106.51</v>
      </c>
      <c r="N7" t="s">
        <v>46</v>
      </c>
      <c r="O7" s="30">
        <v>0.21</v>
      </c>
      <c r="P7" t="s">
        <v>26</v>
      </c>
      <c r="Q7" t="s">
        <v>34</v>
      </c>
      <c r="R7" t="s">
        <v>41</v>
      </c>
      <c r="S7">
        <f t="shared" si="1"/>
        <v>27972.572800000002</v>
      </c>
      <c r="T7">
        <f t="shared" si="2"/>
        <v>28825.279999999999</v>
      </c>
      <c r="U7">
        <f t="shared" si="3"/>
        <v>-852.7071999999971</v>
      </c>
      <c r="V7" t="str">
        <f t="shared" si="4"/>
        <v>Senior</v>
      </c>
    </row>
    <row r="8" spans="1:22" x14ac:dyDescent="0.35">
      <c r="A8" t="s">
        <v>55</v>
      </c>
      <c r="B8">
        <v>1083</v>
      </c>
      <c r="C8" s="1">
        <v>45027</v>
      </c>
      <c r="D8" s="1" t="str">
        <f t="shared" si="0"/>
        <v>Apr</v>
      </c>
      <c r="E8" t="s">
        <v>56</v>
      </c>
      <c r="F8">
        <v>34</v>
      </c>
      <c r="G8" t="s">
        <v>21</v>
      </c>
      <c r="H8" t="s">
        <v>38</v>
      </c>
      <c r="I8" t="s">
        <v>50</v>
      </c>
      <c r="J8">
        <v>29</v>
      </c>
      <c r="K8" s="4" t="s">
        <v>24</v>
      </c>
      <c r="L8">
        <v>2408.81</v>
      </c>
      <c r="M8">
        <v>2824.09</v>
      </c>
      <c r="N8" t="s">
        <v>25</v>
      </c>
      <c r="O8" s="30">
        <v>0.04</v>
      </c>
      <c r="P8" t="s">
        <v>26</v>
      </c>
      <c r="Q8" t="s">
        <v>27</v>
      </c>
      <c r="R8" t="s">
        <v>35</v>
      </c>
      <c r="S8">
        <f t="shared" si="1"/>
        <v>78622.665599999993</v>
      </c>
      <c r="T8">
        <f t="shared" si="2"/>
        <v>69855.490000000005</v>
      </c>
      <c r="U8">
        <f t="shared" si="3"/>
        <v>8767.1755999999878</v>
      </c>
      <c r="V8" t="str">
        <f t="shared" si="4"/>
        <v>Adult</v>
      </c>
    </row>
    <row r="9" spans="1:22" x14ac:dyDescent="0.35">
      <c r="A9" t="s">
        <v>57</v>
      </c>
      <c r="B9">
        <v>1087</v>
      </c>
      <c r="C9" s="1">
        <v>44932</v>
      </c>
      <c r="D9" s="1" t="str">
        <f t="shared" si="0"/>
        <v>Jan</v>
      </c>
      <c r="E9" t="s">
        <v>58</v>
      </c>
      <c r="F9">
        <v>22</v>
      </c>
      <c r="G9" t="s">
        <v>21</v>
      </c>
      <c r="H9" t="s">
        <v>38</v>
      </c>
      <c r="I9" t="s">
        <v>23</v>
      </c>
      <c r="J9">
        <v>46</v>
      </c>
      <c r="K9" s="4" t="s">
        <v>24</v>
      </c>
      <c r="L9">
        <v>3702.51</v>
      </c>
      <c r="M9">
        <v>3964.65</v>
      </c>
      <c r="N9" t="s">
        <v>46</v>
      </c>
      <c r="O9" s="30">
        <v>0.12</v>
      </c>
      <c r="P9" t="s">
        <v>40</v>
      </c>
      <c r="Q9" t="s">
        <v>27</v>
      </c>
      <c r="R9" t="s">
        <v>41</v>
      </c>
      <c r="S9">
        <f t="shared" si="1"/>
        <v>160489.03200000001</v>
      </c>
      <c r="T9">
        <f t="shared" si="2"/>
        <v>170315.46000000002</v>
      </c>
      <c r="U9">
        <f t="shared" si="3"/>
        <v>-9826.4280000000144</v>
      </c>
      <c r="V9" t="str">
        <f t="shared" si="4"/>
        <v>Young</v>
      </c>
    </row>
    <row r="10" spans="1:22" x14ac:dyDescent="0.35">
      <c r="A10" t="s">
        <v>59</v>
      </c>
      <c r="B10">
        <v>1075</v>
      </c>
      <c r="C10" s="1">
        <v>45106</v>
      </c>
      <c r="D10" s="1" t="str">
        <f t="shared" si="0"/>
        <v>Jun</v>
      </c>
      <c r="E10" t="s">
        <v>60</v>
      </c>
      <c r="F10">
        <v>46</v>
      </c>
      <c r="G10" t="s">
        <v>31</v>
      </c>
      <c r="H10" t="s">
        <v>38</v>
      </c>
      <c r="I10" t="s">
        <v>44</v>
      </c>
      <c r="J10">
        <v>30</v>
      </c>
      <c r="K10" s="4" t="s">
        <v>24</v>
      </c>
      <c r="L10">
        <v>738.06</v>
      </c>
      <c r="M10">
        <v>1095.45</v>
      </c>
      <c r="N10" t="s">
        <v>46</v>
      </c>
      <c r="O10" s="30">
        <v>0.05</v>
      </c>
      <c r="P10" t="s">
        <v>40</v>
      </c>
      <c r="Q10" t="s">
        <v>27</v>
      </c>
      <c r="R10" t="s">
        <v>35</v>
      </c>
      <c r="S10">
        <f t="shared" si="1"/>
        <v>31220.324999999997</v>
      </c>
      <c r="T10">
        <f t="shared" si="2"/>
        <v>22141.8</v>
      </c>
      <c r="U10">
        <f t="shared" si="3"/>
        <v>9078.5249999999978</v>
      </c>
      <c r="V10" t="str">
        <f t="shared" si="4"/>
        <v>Senior</v>
      </c>
    </row>
    <row r="11" spans="1:22" x14ac:dyDescent="0.35">
      <c r="A11" t="s">
        <v>61</v>
      </c>
      <c r="B11">
        <v>1075</v>
      </c>
      <c r="C11" s="1">
        <v>45208</v>
      </c>
      <c r="D11" s="1" t="str">
        <f t="shared" si="0"/>
        <v>Oct</v>
      </c>
      <c r="E11" t="s">
        <v>62</v>
      </c>
      <c r="F11">
        <v>21</v>
      </c>
      <c r="G11" t="s">
        <v>54</v>
      </c>
      <c r="H11" t="s">
        <v>32</v>
      </c>
      <c r="I11" t="s">
        <v>23</v>
      </c>
      <c r="J11">
        <v>18</v>
      </c>
      <c r="K11" s="4" t="s">
        <v>45</v>
      </c>
      <c r="L11">
        <v>2228.35</v>
      </c>
      <c r="M11">
        <v>2682.34</v>
      </c>
      <c r="N11" t="s">
        <v>46</v>
      </c>
      <c r="O11" s="30">
        <v>0.13</v>
      </c>
      <c r="P11" t="s">
        <v>40</v>
      </c>
      <c r="Q11" t="s">
        <v>27</v>
      </c>
      <c r="R11" t="s">
        <v>28</v>
      </c>
      <c r="S11">
        <f t="shared" si="1"/>
        <v>42005.4444</v>
      </c>
      <c r="T11">
        <f t="shared" si="2"/>
        <v>40110.299999999996</v>
      </c>
      <c r="U11">
        <f t="shared" si="3"/>
        <v>1895.1444000000047</v>
      </c>
      <c r="V11" t="str">
        <f t="shared" si="4"/>
        <v>Young</v>
      </c>
    </row>
    <row r="12" spans="1:22" x14ac:dyDescent="0.35">
      <c r="A12" t="s">
        <v>63</v>
      </c>
      <c r="B12">
        <v>1088</v>
      </c>
      <c r="C12" s="1">
        <v>45246</v>
      </c>
      <c r="D12" s="1" t="str">
        <f t="shared" si="0"/>
        <v>Nov</v>
      </c>
      <c r="E12" t="s">
        <v>64</v>
      </c>
      <c r="F12">
        <v>27</v>
      </c>
      <c r="G12" t="s">
        <v>65</v>
      </c>
      <c r="H12" t="s">
        <v>22</v>
      </c>
      <c r="I12" t="s">
        <v>50</v>
      </c>
      <c r="J12">
        <v>13</v>
      </c>
      <c r="K12" s="4" t="s">
        <v>24</v>
      </c>
      <c r="L12">
        <v>2440.11</v>
      </c>
      <c r="M12">
        <v>2517.6</v>
      </c>
      <c r="N12" t="s">
        <v>46</v>
      </c>
      <c r="O12" s="30">
        <v>0.12</v>
      </c>
      <c r="P12" t="s">
        <v>40</v>
      </c>
      <c r="Q12" t="s">
        <v>34</v>
      </c>
      <c r="R12" t="s">
        <v>41</v>
      </c>
      <c r="S12">
        <f t="shared" si="1"/>
        <v>28801.344000000001</v>
      </c>
      <c r="T12">
        <f t="shared" si="2"/>
        <v>31721.43</v>
      </c>
      <c r="U12">
        <f t="shared" si="3"/>
        <v>-2920.0859999999993</v>
      </c>
      <c r="V12" t="str">
        <f t="shared" si="4"/>
        <v>Adult</v>
      </c>
    </row>
    <row r="13" spans="1:22" x14ac:dyDescent="0.35">
      <c r="A13" t="s">
        <v>66</v>
      </c>
      <c r="B13">
        <v>1100</v>
      </c>
      <c r="C13" s="1">
        <v>45152</v>
      </c>
      <c r="D13" s="1" t="str">
        <f t="shared" si="0"/>
        <v>Aug</v>
      </c>
      <c r="E13" t="s">
        <v>67</v>
      </c>
      <c r="F13">
        <v>34</v>
      </c>
      <c r="G13" t="s">
        <v>65</v>
      </c>
      <c r="H13" t="s">
        <v>38</v>
      </c>
      <c r="I13" t="s">
        <v>33</v>
      </c>
      <c r="J13">
        <v>43</v>
      </c>
      <c r="K13" s="4" t="s">
        <v>39</v>
      </c>
      <c r="L13">
        <v>1100.81</v>
      </c>
      <c r="M13">
        <v>1137.44</v>
      </c>
      <c r="N13" t="s">
        <v>25</v>
      </c>
      <c r="O13" s="30">
        <v>0.08</v>
      </c>
      <c r="P13" t="s">
        <v>40</v>
      </c>
      <c r="Q13" t="s">
        <v>34</v>
      </c>
      <c r="R13" t="s">
        <v>28</v>
      </c>
      <c r="S13">
        <f t="shared" si="1"/>
        <v>44997.126400000008</v>
      </c>
      <c r="T13">
        <f t="shared" si="2"/>
        <v>47334.829999999994</v>
      </c>
      <c r="U13">
        <f t="shared" si="3"/>
        <v>-2337.7035999999862</v>
      </c>
      <c r="V13" t="str">
        <f t="shared" si="4"/>
        <v>Adult</v>
      </c>
    </row>
    <row r="14" spans="1:22" x14ac:dyDescent="0.35">
      <c r="A14" t="s">
        <v>68</v>
      </c>
      <c r="B14">
        <v>1024</v>
      </c>
      <c r="C14" s="1">
        <v>45241</v>
      </c>
      <c r="D14" s="1" t="str">
        <f t="shared" si="0"/>
        <v>Nov</v>
      </c>
      <c r="E14" t="s">
        <v>60</v>
      </c>
      <c r="F14">
        <v>27</v>
      </c>
      <c r="G14" t="s">
        <v>65</v>
      </c>
      <c r="H14" t="s">
        <v>32</v>
      </c>
      <c r="I14" t="s">
        <v>33</v>
      </c>
      <c r="J14">
        <v>21</v>
      </c>
      <c r="K14" s="4" t="s">
        <v>39</v>
      </c>
      <c r="L14">
        <v>622.01</v>
      </c>
      <c r="M14">
        <v>641.09</v>
      </c>
      <c r="N14" t="s">
        <v>25</v>
      </c>
      <c r="O14" s="30">
        <v>0</v>
      </c>
      <c r="P14" t="s">
        <v>40</v>
      </c>
      <c r="Q14" t="s">
        <v>34</v>
      </c>
      <c r="R14" t="s">
        <v>41</v>
      </c>
      <c r="S14">
        <f t="shared" si="1"/>
        <v>13462.890000000001</v>
      </c>
      <c r="T14">
        <f t="shared" si="2"/>
        <v>13062.21</v>
      </c>
      <c r="U14">
        <f t="shared" si="3"/>
        <v>400.68000000000211</v>
      </c>
      <c r="V14" t="str">
        <f t="shared" si="4"/>
        <v>Adult</v>
      </c>
    </row>
    <row r="15" spans="1:22" x14ac:dyDescent="0.35">
      <c r="A15" t="s">
        <v>69</v>
      </c>
      <c r="B15">
        <v>1003</v>
      </c>
      <c r="C15" s="1">
        <v>45291</v>
      </c>
      <c r="D15" s="1" t="str">
        <f t="shared" si="0"/>
        <v>Dec</v>
      </c>
      <c r="E15" t="s">
        <v>70</v>
      </c>
      <c r="F15">
        <v>34</v>
      </c>
      <c r="G15" t="s">
        <v>21</v>
      </c>
      <c r="H15" t="s">
        <v>54</v>
      </c>
      <c r="I15" t="s">
        <v>44</v>
      </c>
      <c r="J15">
        <v>30</v>
      </c>
      <c r="K15" s="4" t="s">
        <v>24</v>
      </c>
      <c r="L15">
        <v>4190.28</v>
      </c>
      <c r="M15">
        <v>4270.6499999999996</v>
      </c>
      <c r="N15" t="s">
        <v>46</v>
      </c>
      <c r="O15" s="30">
        <v>0.06</v>
      </c>
      <c r="P15" t="s">
        <v>26</v>
      </c>
      <c r="Q15" t="s">
        <v>34</v>
      </c>
      <c r="R15" t="s">
        <v>28</v>
      </c>
      <c r="S15">
        <f t="shared" si="1"/>
        <v>120432.32999999997</v>
      </c>
      <c r="T15">
        <f t="shared" si="2"/>
        <v>125708.4</v>
      </c>
      <c r="U15">
        <f t="shared" si="3"/>
        <v>-5276.0700000000215</v>
      </c>
      <c r="V15" t="str">
        <f t="shared" si="4"/>
        <v>Adult</v>
      </c>
    </row>
    <row r="16" spans="1:22" x14ac:dyDescent="0.35">
      <c r="A16" t="s">
        <v>71</v>
      </c>
      <c r="B16">
        <v>1022</v>
      </c>
      <c r="C16" s="1">
        <v>45155</v>
      </c>
      <c r="D16" s="1" t="str">
        <f t="shared" si="0"/>
        <v>Aug</v>
      </c>
      <c r="E16" t="s">
        <v>72</v>
      </c>
      <c r="F16">
        <v>37</v>
      </c>
      <c r="G16" t="s">
        <v>21</v>
      </c>
      <c r="H16" t="s">
        <v>22</v>
      </c>
      <c r="I16" t="s">
        <v>23</v>
      </c>
      <c r="J16">
        <v>21</v>
      </c>
      <c r="K16" s="4" t="s">
        <v>39</v>
      </c>
      <c r="L16">
        <v>2537.1999999999998</v>
      </c>
      <c r="M16">
        <v>2869.6</v>
      </c>
      <c r="N16" t="s">
        <v>46</v>
      </c>
      <c r="O16" s="30">
        <v>0.2</v>
      </c>
      <c r="P16" t="s">
        <v>40</v>
      </c>
      <c r="Q16" t="s">
        <v>34</v>
      </c>
      <c r="R16" t="s">
        <v>41</v>
      </c>
      <c r="S16">
        <f t="shared" si="1"/>
        <v>48209.279999999999</v>
      </c>
      <c r="T16">
        <f t="shared" si="2"/>
        <v>53281.2</v>
      </c>
      <c r="U16">
        <f t="shared" si="3"/>
        <v>-5071.9199999999983</v>
      </c>
      <c r="V16" t="str">
        <f t="shared" si="4"/>
        <v>Adult</v>
      </c>
    </row>
    <row r="17" spans="1:22" x14ac:dyDescent="0.35">
      <c r="A17" t="s">
        <v>73</v>
      </c>
      <c r="B17">
        <v>1053</v>
      </c>
      <c r="C17" s="1">
        <v>45215</v>
      </c>
      <c r="D17" s="1" t="str">
        <f t="shared" si="0"/>
        <v>Oct</v>
      </c>
      <c r="E17" t="s">
        <v>74</v>
      </c>
      <c r="F17">
        <v>41</v>
      </c>
      <c r="G17" t="s">
        <v>54</v>
      </c>
      <c r="H17" t="s">
        <v>54</v>
      </c>
      <c r="I17" t="s">
        <v>23</v>
      </c>
      <c r="J17">
        <v>48</v>
      </c>
      <c r="K17" s="4" t="s">
        <v>24</v>
      </c>
      <c r="L17">
        <v>121.19</v>
      </c>
      <c r="M17">
        <v>487.65</v>
      </c>
      <c r="N17" t="s">
        <v>46</v>
      </c>
      <c r="O17" s="30">
        <v>0.18</v>
      </c>
      <c r="P17" t="s">
        <v>26</v>
      </c>
      <c r="Q17" t="s">
        <v>27</v>
      </c>
      <c r="R17" t="s">
        <v>41</v>
      </c>
      <c r="S17">
        <f t="shared" si="1"/>
        <v>19193.903999999999</v>
      </c>
      <c r="T17">
        <f t="shared" si="2"/>
        <v>5817.12</v>
      </c>
      <c r="U17">
        <f t="shared" si="3"/>
        <v>13376.784</v>
      </c>
      <c r="V17" t="str">
        <f t="shared" si="4"/>
        <v>Senior</v>
      </c>
    </row>
    <row r="18" spans="1:22" x14ac:dyDescent="0.35">
      <c r="A18" t="s">
        <v>75</v>
      </c>
      <c r="B18">
        <v>1002</v>
      </c>
      <c r="C18" s="1">
        <v>45076</v>
      </c>
      <c r="D18" s="1" t="str">
        <f t="shared" si="0"/>
        <v>May</v>
      </c>
      <c r="E18" t="s">
        <v>76</v>
      </c>
      <c r="F18">
        <v>22</v>
      </c>
      <c r="G18" t="s">
        <v>65</v>
      </c>
      <c r="H18" t="s">
        <v>22</v>
      </c>
      <c r="I18" t="s">
        <v>44</v>
      </c>
      <c r="J18">
        <v>17</v>
      </c>
      <c r="K18" s="4" t="s">
        <v>24</v>
      </c>
      <c r="L18">
        <v>4024.76</v>
      </c>
      <c r="M18">
        <v>4420.1499999999996</v>
      </c>
      <c r="N18" t="s">
        <v>25</v>
      </c>
      <c r="O18" s="30">
        <v>0.04</v>
      </c>
      <c r="P18" t="s">
        <v>26</v>
      </c>
      <c r="Q18" t="s">
        <v>27</v>
      </c>
      <c r="R18" t="s">
        <v>41</v>
      </c>
      <c r="S18">
        <f t="shared" si="1"/>
        <v>72136.847999999984</v>
      </c>
      <c r="T18">
        <f t="shared" si="2"/>
        <v>68420.92</v>
      </c>
      <c r="U18">
        <f t="shared" si="3"/>
        <v>3715.9279999999853</v>
      </c>
      <c r="V18" t="str">
        <f t="shared" si="4"/>
        <v>Young</v>
      </c>
    </row>
    <row r="19" spans="1:22" x14ac:dyDescent="0.35">
      <c r="A19" t="s">
        <v>77</v>
      </c>
      <c r="B19">
        <v>1088</v>
      </c>
      <c r="C19" s="1">
        <v>45203</v>
      </c>
      <c r="D19" s="1" t="str">
        <f t="shared" si="0"/>
        <v>Oct</v>
      </c>
      <c r="E19" t="s">
        <v>78</v>
      </c>
      <c r="F19">
        <v>51</v>
      </c>
      <c r="G19" t="s">
        <v>65</v>
      </c>
      <c r="H19" t="s">
        <v>32</v>
      </c>
      <c r="I19" t="s">
        <v>33</v>
      </c>
      <c r="J19">
        <v>40</v>
      </c>
      <c r="K19" s="4" t="s">
        <v>51</v>
      </c>
      <c r="L19">
        <v>4904.93</v>
      </c>
      <c r="M19">
        <v>5034.3500000000004</v>
      </c>
      <c r="N19" t="s">
        <v>46</v>
      </c>
      <c r="O19" s="30">
        <v>0.05</v>
      </c>
      <c r="P19" t="s">
        <v>47</v>
      </c>
      <c r="Q19" t="s">
        <v>34</v>
      </c>
      <c r="R19" t="s">
        <v>41</v>
      </c>
      <c r="S19">
        <f t="shared" si="1"/>
        <v>191305.3</v>
      </c>
      <c r="T19">
        <f t="shared" si="2"/>
        <v>196197.2</v>
      </c>
      <c r="U19">
        <f t="shared" si="3"/>
        <v>-4891.9000000000233</v>
      </c>
      <c r="V19" t="str">
        <f t="shared" si="4"/>
        <v>Senior</v>
      </c>
    </row>
    <row r="20" spans="1:22" x14ac:dyDescent="0.35">
      <c r="A20" t="s">
        <v>79</v>
      </c>
      <c r="B20">
        <v>1030</v>
      </c>
      <c r="C20" s="1">
        <v>45124</v>
      </c>
      <c r="D20" s="1" t="str">
        <f t="shared" si="0"/>
        <v>Jul</v>
      </c>
      <c r="E20" t="s">
        <v>80</v>
      </c>
      <c r="F20">
        <v>23</v>
      </c>
      <c r="G20" t="s">
        <v>31</v>
      </c>
      <c r="H20" t="s">
        <v>81</v>
      </c>
      <c r="I20" t="s">
        <v>50</v>
      </c>
      <c r="J20">
        <v>19</v>
      </c>
      <c r="K20" s="4" t="s">
        <v>45</v>
      </c>
      <c r="L20">
        <v>3049.33</v>
      </c>
      <c r="M20">
        <v>3209.22</v>
      </c>
      <c r="N20" t="s">
        <v>25</v>
      </c>
      <c r="O20" s="30">
        <v>0.06</v>
      </c>
      <c r="P20" t="s">
        <v>26</v>
      </c>
      <c r="Q20" t="s">
        <v>34</v>
      </c>
      <c r="R20" t="s">
        <v>41</v>
      </c>
      <c r="S20">
        <f t="shared" si="1"/>
        <v>57316.669199999989</v>
      </c>
      <c r="T20">
        <f t="shared" si="2"/>
        <v>57937.27</v>
      </c>
      <c r="U20">
        <f t="shared" si="3"/>
        <v>-620.60080000000744</v>
      </c>
      <c r="V20" t="str">
        <f t="shared" si="4"/>
        <v>Young</v>
      </c>
    </row>
    <row r="21" spans="1:22" x14ac:dyDescent="0.35">
      <c r="A21" t="s">
        <v>82</v>
      </c>
      <c r="B21">
        <v>1038</v>
      </c>
      <c r="C21" s="1">
        <v>44996</v>
      </c>
      <c r="D21" s="1" t="str">
        <f t="shared" si="0"/>
        <v>Mar</v>
      </c>
      <c r="E21" t="s">
        <v>83</v>
      </c>
      <c r="F21">
        <v>19</v>
      </c>
      <c r="G21" t="s">
        <v>21</v>
      </c>
      <c r="H21" t="s">
        <v>22</v>
      </c>
      <c r="I21" t="s">
        <v>44</v>
      </c>
      <c r="J21">
        <v>15</v>
      </c>
      <c r="K21" s="4" t="s">
        <v>45</v>
      </c>
      <c r="L21">
        <v>2543.36</v>
      </c>
      <c r="M21">
        <v>2790.1</v>
      </c>
      <c r="N21" t="s">
        <v>25</v>
      </c>
      <c r="O21" s="30">
        <v>7.0000000000000007E-2</v>
      </c>
      <c r="P21" t="s">
        <v>26</v>
      </c>
      <c r="Q21" t="s">
        <v>34</v>
      </c>
      <c r="R21" t="s">
        <v>41</v>
      </c>
      <c r="S21">
        <f t="shared" si="1"/>
        <v>38921.894999999997</v>
      </c>
      <c r="T21">
        <f t="shared" si="2"/>
        <v>38150.400000000001</v>
      </c>
      <c r="U21">
        <f t="shared" si="3"/>
        <v>771.49499999999534</v>
      </c>
      <c r="V21" t="str">
        <f t="shared" si="4"/>
        <v>Young</v>
      </c>
    </row>
    <row r="22" spans="1:22" x14ac:dyDescent="0.35">
      <c r="A22" t="s">
        <v>84</v>
      </c>
      <c r="B22">
        <v>1002</v>
      </c>
      <c r="C22" s="1">
        <v>45038</v>
      </c>
      <c r="D22" s="1" t="str">
        <f t="shared" si="0"/>
        <v>Apr</v>
      </c>
      <c r="E22" t="s">
        <v>74</v>
      </c>
      <c r="F22">
        <v>30</v>
      </c>
      <c r="G22" t="s">
        <v>65</v>
      </c>
      <c r="H22" t="s">
        <v>54</v>
      </c>
      <c r="I22" t="s">
        <v>50</v>
      </c>
      <c r="J22">
        <v>9</v>
      </c>
      <c r="K22" s="4" t="s">
        <v>51</v>
      </c>
      <c r="L22">
        <v>4398.16</v>
      </c>
      <c r="M22">
        <v>4439.12</v>
      </c>
      <c r="N22" t="s">
        <v>46</v>
      </c>
      <c r="O22" s="30">
        <v>0.18</v>
      </c>
      <c r="P22" t="s">
        <v>40</v>
      </c>
      <c r="Q22" t="s">
        <v>27</v>
      </c>
      <c r="R22" t="s">
        <v>41</v>
      </c>
      <c r="S22">
        <f t="shared" si="1"/>
        <v>32760.705600000005</v>
      </c>
      <c r="T22">
        <f t="shared" si="2"/>
        <v>39583.440000000002</v>
      </c>
      <c r="U22">
        <f t="shared" si="3"/>
        <v>-6822.7343999999975</v>
      </c>
      <c r="V22" t="str">
        <f t="shared" si="4"/>
        <v>Adult</v>
      </c>
    </row>
    <row r="23" spans="1:22" x14ac:dyDescent="0.35">
      <c r="A23" t="s">
        <v>85</v>
      </c>
      <c r="B23">
        <v>1064</v>
      </c>
      <c r="C23" s="1">
        <v>44930</v>
      </c>
      <c r="D23" s="1" t="str">
        <f t="shared" si="0"/>
        <v>Jan</v>
      </c>
      <c r="E23" t="s">
        <v>86</v>
      </c>
      <c r="F23">
        <v>60</v>
      </c>
      <c r="G23" t="s">
        <v>54</v>
      </c>
      <c r="H23" t="s">
        <v>32</v>
      </c>
      <c r="I23" t="s">
        <v>33</v>
      </c>
      <c r="J23">
        <v>10</v>
      </c>
      <c r="K23" s="4" t="s">
        <v>51</v>
      </c>
      <c r="L23">
        <v>4764.96</v>
      </c>
      <c r="M23">
        <v>5074.42</v>
      </c>
      <c r="N23" t="s">
        <v>46</v>
      </c>
      <c r="O23" s="30">
        <v>0.12</v>
      </c>
      <c r="P23" t="s">
        <v>26</v>
      </c>
      <c r="Q23" t="s">
        <v>34</v>
      </c>
      <c r="R23" t="s">
        <v>41</v>
      </c>
      <c r="S23">
        <f t="shared" si="1"/>
        <v>44654.896000000001</v>
      </c>
      <c r="T23">
        <f t="shared" si="2"/>
        <v>47649.599999999999</v>
      </c>
      <c r="U23">
        <f t="shared" si="3"/>
        <v>-2994.7039999999979</v>
      </c>
      <c r="V23" t="str">
        <f t="shared" si="4"/>
        <v>Senior</v>
      </c>
    </row>
    <row r="24" spans="1:22" x14ac:dyDescent="0.35">
      <c r="A24" t="s">
        <v>87</v>
      </c>
      <c r="B24">
        <v>1060</v>
      </c>
      <c r="C24" s="1">
        <v>45276</v>
      </c>
      <c r="D24" s="1" t="str">
        <f t="shared" si="0"/>
        <v>Dec</v>
      </c>
      <c r="E24" t="s">
        <v>72</v>
      </c>
      <c r="F24">
        <v>60</v>
      </c>
      <c r="G24" t="s">
        <v>54</v>
      </c>
      <c r="H24" t="s">
        <v>22</v>
      </c>
      <c r="I24" t="s">
        <v>23</v>
      </c>
      <c r="J24">
        <v>44</v>
      </c>
      <c r="K24" s="4" t="s">
        <v>45</v>
      </c>
      <c r="L24">
        <v>3784.96</v>
      </c>
      <c r="M24">
        <v>4276.99</v>
      </c>
      <c r="N24" t="s">
        <v>46</v>
      </c>
      <c r="O24" s="30">
        <v>0.06</v>
      </c>
      <c r="P24" t="s">
        <v>40</v>
      </c>
      <c r="Q24" t="s">
        <v>34</v>
      </c>
      <c r="R24" t="s">
        <v>41</v>
      </c>
      <c r="S24">
        <f t="shared" si="1"/>
        <v>176896.3064</v>
      </c>
      <c r="T24">
        <f t="shared" si="2"/>
        <v>166538.23999999999</v>
      </c>
      <c r="U24">
        <f t="shared" si="3"/>
        <v>10358.066400000011</v>
      </c>
      <c r="V24" t="str">
        <f t="shared" si="4"/>
        <v>Senior</v>
      </c>
    </row>
    <row r="25" spans="1:22" x14ac:dyDescent="0.35">
      <c r="A25" t="s">
        <v>88</v>
      </c>
      <c r="B25">
        <v>1021</v>
      </c>
      <c r="C25" s="1">
        <v>45257</v>
      </c>
      <c r="D25" s="1" t="str">
        <f t="shared" si="0"/>
        <v>Nov</v>
      </c>
      <c r="E25" t="s">
        <v>89</v>
      </c>
      <c r="F25">
        <v>28</v>
      </c>
      <c r="G25" t="s">
        <v>65</v>
      </c>
      <c r="H25" t="s">
        <v>81</v>
      </c>
      <c r="I25" t="s">
        <v>33</v>
      </c>
      <c r="J25">
        <v>31</v>
      </c>
      <c r="K25" s="4" t="s">
        <v>24</v>
      </c>
      <c r="L25">
        <v>2254.9899999999998</v>
      </c>
      <c r="M25">
        <v>2741.79</v>
      </c>
      <c r="N25" t="s">
        <v>25</v>
      </c>
      <c r="O25" s="30">
        <v>0.24</v>
      </c>
      <c r="P25" t="s">
        <v>40</v>
      </c>
      <c r="Q25" t="s">
        <v>34</v>
      </c>
      <c r="R25" t="s">
        <v>28</v>
      </c>
      <c r="S25">
        <f t="shared" si="1"/>
        <v>64596.572400000005</v>
      </c>
      <c r="T25">
        <f t="shared" si="2"/>
        <v>69904.689999999988</v>
      </c>
      <c r="U25">
        <f t="shared" si="3"/>
        <v>-5308.1175999999832</v>
      </c>
      <c r="V25" t="str">
        <f t="shared" si="4"/>
        <v>Adult</v>
      </c>
    </row>
    <row r="26" spans="1:22" x14ac:dyDescent="0.35">
      <c r="A26" t="s">
        <v>90</v>
      </c>
      <c r="B26">
        <v>1033</v>
      </c>
      <c r="C26" s="1">
        <v>45244</v>
      </c>
      <c r="D26" s="1" t="str">
        <f t="shared" si="0"/>
        <v>Nov</v>
      </c>
      <c r="E26" t="s">
        <v>91</v>
      </c>
      <c r="F26">
        <v>64</v>
      </c>
      <c r="G26" t="s">
        <v>21</v>
      </c>
      <c r="H26" t="s">
        <v>81</v>
      </c>
      <c r="I26" t="s">
        <v>44</v>
      </c>
      <c r="J26">
        <v>23</v>
      </c>
      <c r="K26" s="4" t="s">
        <v>24</v>
      </c>
      <c r="L26">
        <v>2981.5</v>
      </c>
      <c r="M26">
        <v>4860.3999999999996</v>
      </c>
      <c r="N26" t="s">
        <v>25</v>
      </c>
      <c r="O26" s="30">
        <v>0.22</v>
      </c>
      <c r="P26" t="s">
        <v>40</v>
      </c>
      <c r="Q26" t="s">
        <v>27</v>
      </c>
      <c r="R26" t="s">
        <v>35</v>
      </c>
      <c r="S26">
        <f t="shared" si="1"/>
        <v>87195.576000000001</v>
      </c>
      <c r="T26">
        <f t="shared" si="2"/>
        <v>68574.5</v>
      </c>
      <c r="U26">
        <f t="shared" si="3"/>
        <v>18621.076000000001</v>
      </c>
      <c r="V26" t="str">
        <f t="shared" si="4"/>
        <v>Senior</v>
      </c>
    </row>
    <row r="27" spans="1:22" x14ac:dyDescent="0.35">
      <c r="A27" t="s">
        <v>92</v>
      </c>
      <c r="B27">
        <v>1076</v>
      </c>
      <c r="C27" s="1">
        <v>45276</v>
      </c>
      <c r="D27" s="1" t="str">
        <f t="shared" si="0"/>
        <v>Dec</v>
      </c>
      <c r="E27" t="s">
        <v>93</v>
      </c>
      <c r="F27">
        <v>40</v>
      </c>
      <c r="G27" t="s">
        <v>54</v>
      </c>
      <c r="H27" t="s">
        <v>38</v>
      </c>
      <c r="I27" t="s">
        <v>23</v>
      </c>
      <c r="J27">
        <v>30</v>
      </c>
      <c r="K27" s="4" t="s">
        <v>45</v>
      </c>
      <c r="L27">
        <v>3519.63</v>
      </c>
      <c r="M27">
        <v>4774.6499999999996</v>
      </c>
      <c r="N27" t="s">
        <v>46</v>
      </c>
      <c r="O27" s="30">
        <v>0.2</v>
      </c>
      <c r="P27" t="s">
        <v>47</v>
      </c>
      <c r="Q27" t="s">
        <v>34</v>
      </c>
      <c r="R27" t="s">
        <v>41</v>
      </c>
      <c r="S27">
        <f t="shared" si="1"/>
        <v>114591.6</v>
      </c>
      <c r="T27">
        <f t="shared" si="2"/>
        <v>105588.90000000001</v>
      </c>
      <c r="U27">
        <f t="shared" si="3"/>
        <v>9002.6999999999971</v>
      </c>
      <c r="V27" t="str">
        <f t="shared" si="4"/>
        <v>Adult</v>
      </c>
    </row>
    <row r="28" spans="1:22" x14ac:dyDescent="0.35">
      <c r="A28" t="s">
        <v>94</v>
      </c>
      <c r="B28">
        <v>1058</v>
      </c>
      <c r="C28" s="1">
        <v>45021</v>
      </c>
      <c r="D28" s="1" t="str">
        <f t="shared" si="0"/>
        <v>Apr</v>
      </c>
      <c r="E28" t="s">
        <v>95</v>
      </c>
      <c r="F28">
        <v>33</v>
      </c>
      <c r="G28" t="s">
        <v>31</v>
      </c>
      <c r="H28" t="s">
        <v>38</v>
      </c>
      <c r="I28" t="s">
        <v>44</v>
      </c>
      <c r="J28">
        <v>33</v>
      </c>
      <c r="K28" s="4" t="s">
        <v>24</v>
      </c>
      <c r="L28">
        <v>1011.65</v>
      </c>
      <c r="M28">
        <v>1084.28</v>
      </c>
      <c r="N28" t="s">
        <v>25</v>
      </c>
      <c r="O28" s="30">
        <v>7.0000000000000007E-2</v>
      </c>
      <c r="P28" t="s">
        <v>40</v>
      </c>
      <c r="Q28" t="s">
        <v>27</v>
      </c>
      <c r="R28" t="s">
        <v>35</v>
      </c>
      <c r="S28">
        <f t="shared" si="1"/>
        <v>33276.553199999995</v>
      </c>
      <c r="T28">
        <f t="shared" si="2"/>
        <v>33384.449999999997</v>
      </c>
      <c r="U28">
        <f t="shared" si="3"/>
        <v>-107.89680000000226</v>
      </c>
      <c r="V28" t="str">
        <f t="shared" si="4"/>
        <v>Adult</v>
      </c>
    </row>
    <row r="29" spans="1:22" x14ac:dyDescent="0.35">
      <c r="A29" t="s">
        <v>96</v>
      </c>
      <c r="B29">
        <v>1022</v>
      </c>
      <c r="C29" s="1">
        <v>45078</v>
      </c>
      <c r="D29" s="1" t="str">
        <f t="shared" si="0"/>
        <v>Jun</v>
      </c>
      <c r="E29" t="s">
        <v>97</v>
      </c>
      <c r="F29">
        <v>48</v>
      </c>
      <c r="G29" t="s">
        <v>54</v>
      </c>
      <c r="H29" t="s">
        <v>54</v>
      </c>
      <c r="I29" t="s">
        <v>44</v>
      </c>
      <c r="J29">
        <v>9</v>
      </c>
      <c r="K29" s="4" t="s">
        <v>51</v>
      </c>
      <c r="L29">
        <v>2263.65</v>
      </c>
      <c r="M29">
        <v>2558.9499999999998</v>
      </c>
      <c r="N29" t="s">
        <v>46</v>
      </c>
      <c r="O29" s="30">
        <v>0.03</v>
      </c>
      <c r="P29" t="s">
        <v>26</v>
      </c>
      <c r="Q29" t="s">
        <v>27</v>
      </c>
      <c r="R29" t="s">
        <v>41</v>
      </c>
      <c r="S29">
        <f t="shared" si="1"/>
        <v>22339.6335</v>
      </c>
      <c r="T29">
        <f t="shared" si="2"/>
        <v>20372.850000000002</v>
      </c>
      <c r="U29">
        <f t="shared" si="3"/>
        <v>1966.7834999999977</v>
      </c>
      <c r="V29" t="str">
        <f t="shared" si="4"/>
        <v>Senior</v>
      </c>
    </row>
    <row r="30" spans="1:22" x14ac:dyDescent="0.35">
      <c r="A30" t="s">
        <v>98</v>
      </c>
      <c r="B30">
        <v>1089</v>
      </c>
      <c r="C30" s="1">
        <v>45237</v>
      </c>
      <c r="D30" s="1" t="str">
        <f t="shared" si="0"/>
        <v>Nov</v>
      </c>
      <c r="E30" t="s">
        <v>99</v>
      </c>
      <c r="F30">
        <v>28</v>
      </c>
      <c r="G30" t="s">
        <v>100</v>
      </c>
      <c r="H30" t="s">
        <v>22</v>
      </c>
      <c r="I30" t="s">
        <v>33</v>
      </c>
      <c r="J30">
        <v>47</v>
      </c>
      <c r="K30" s="4" t="s">
        <v>24</v>
      </c>
      <c r="L30">
        <v>4157.62</v>
      </c>
      <c r="M30">
        <v>5214.5600000000004</v>
      </c>
      <c r="N30" t="s">
        <v>46</v>
      </c>
      <c r="O30" s="30">
        <v>0.17</v>
      </c>
      <c r="P30" t="s">
        <v>40</v>
      </c>
      <c r="Q30" t="s">
        <v>27</v>
      </c>
      <c r="R30" t="s">
        <v>41</v>
      </c>
      <c r="S30">
        <f t="shared" si="1"/>
        <v>203419.98559999999</v>
      </c>
      <c r="T30">
        <f t="shared" si="2"/>
        <v>195408.13999999998</v>
      </c>
      <c r="U30">
        <f t="shared" si="3"/>
        <v>8011.8456000000006</v>
      </c>
      <c r="V30" t="str">
        <f t="shared" si="4"/>
        <v>Adult</v>
      </c>
    </row>
    <row r="31" spans="1:22" x14ac:dyDescent="0.35">
      <c r="A31" t="s">
        <v>101</v>
      </c>
      <c r="B31">
        <v>1049</v>
      </c>
      <c r="C31" s="1">
        <v>45063</v>
      </c>
      <c r="D31" s="1" t="str">
        <f t="shared" si="0"/>
        <v>May</v>
      </c>
      <c r="E31" t="s">
        <v>102</v>
      </c>
      <c r="F31">
        <v>33</v>
      </c>
      <c r="G31" t="s">
        <v>100</v>
      </c>
      <c r="H31" t="s">
        <v>22</v>
      </c>
      <c r="I31" t="s">
        <v>44</v>
      </c>
      <c r="J31">
        <v>1</v>
      </c>
      <c r="K31" s="4" t="s">
        <v>24</v>
      </c>
      <c r="L31">
        <v>3290.89</v>
      </c>
      <c r="M31">
        <v>3317.75</v>
      </c>
      <c r="N31" t="s">
        <v>25</v>
      </c>
      <c r="O31" s="30">
        <v>0.17</v>
      </c>
      <c r="P31" t="s">
        <v>40</v>
      </c>
      <c r="Q31" t="s">
        <v>27</v>
      </c>
      <c r="R31" t="s">
        <v>28</v>
      </c>
      <c r="S31">
        <f t="shared" si="1"/>
        <v>2753.7325000000001</v>
      </c>
      <c r="T31">
        <f t="shared" si="2"/>
        <v>3290.89</v>
      </c>
      <c r="U31">
        <f t="shared" si="3"/>
        <v>-537.1574999999998</v>
      </c>
      <c r="V31" t="str">
        <f t="shared" si="4"/>
        <v>Adult</v>
      </c>
    </row>
    <row r="32" spans="1:22" x14ac:dyDescent="0.35">
      <c r="A32" t="s">
        <v>103</v>
      </c>
      <c r="B32">
        <v>1091</v>
      </c>
      <c r="C32" s="1">
        <v>45173</v>
      </c>
      <c r="D32" s="1" t="str">
        <f t="shared" si="0"/>
        <v>Sep</v>
      </c>
      <c r="E32" t="s">
        <v>104</v>
      </c>
      <c r="F32">
        <v>25</v>
      </c>
      <c r="G32" t="s">
        <v>21</v>
      </c>
      <c r="H32" t="s">
        <v>38</v>
      </c>
      <c r="I32" t="s">
        <v>33</v>
      </c>
      <c r="J32">
        <v>44</v>
      </c>
      <c r="K32" s="4" t="s">
        <v>39</v>
      </c>
      <c r="L32">
        <v>2085.46</v>
      </c>
      <c r="M32">
        <v>2406.58</v>
      </c>
      <c r="N32" t="s">
        <v>25</v>
      </c>
      <c r="O32" s="30">
        <v>0.06</v>
      </c>
      <c r="P32" t="s">
        <v>40</v>
      </c>
      <c r="Q32" t="s">
        <v>27</v>
      </c>
      <c r="R32" t="s">
        <v>28</v>
      </c>
      <c r="S32">
        <f t="shared" si="1"/>
        <v>99536.148799999981</v>
      </c>
      <c r="T32">
        <f t="shared" si="2"/>
        <v>91760.24</v>
      </c>
      <c r="U32">
        <f t="shared" si="3"/>
        <v>7775.9087999999756</v>
      </c>
      <c r="V32" t="str">
        <f t="shared" si="4"/>
        <v>Adult</v>
      </c>
    </row>
    <row r="33" spans="1:22" x14ac:dyDescent="0.35">
      <c r="A33" t="s">
        <v>105</v>
      </c>
      <c r="B33">
        <v>1059</v>
      </c>
      <c r="C33" s="1">
        <v>45169</v>
      </c>
      <c r="D33" s="1" t="str">
        <f t="shared" si="0"/>
        <v>Aug</v>
      </c>
      <c r="E33" t="s">
        <v>106</v>
      </c>
      <c r="F33">
        <v>21</v>
      </c>
      <c r="G33" t="s">
        <v>65</v>
      </c>
      <c r="H33" t="s">
        <v>22</v>
      </c>
      <c r="I33" t="s">
        <v>23</v>
      </c>
      <c r="J33">
        <v>35</v>
      </c>
      <c r="K33" s="4" t="s">
        <v>39</v>
      </c>
      <c r="L33">
        <v>3333.64</v>
      </c>
      <c r="M33">
        <v>3764.52</v>
      </c>
      <c r="N33" t="s">
        <v>25</v>
      </c>
      <c r="O33" s="30">
        <v>0.02</v>
      </c>
      <c r="P33" t="s">
        <v>47</v>
      </c>
      <c r="Q33" t="s">
        <v>27</v>
      </c>
      <c r="R33" t="s">
        <v>35</v>
      </c>
      <c r="S33">
        <f t="shared" si="1"/>
        <v>129123.03600000001</v>
      </c>
      <c r="T33">
        <f t="shared" si="2"/>
        <v>116677.4</v>
      </c>
      <c r="U33">
        <f t="shared" si="3"/>
        <v>12445.636000000013</v>
      </c>
      <c r="V33" t="str">
        <f t="shared" si="4"/>
        <v>Young</v>
      </c>
    </row>
    <row r="34" spans="1:22" x14ac:dyDescent="0.35">
      <c r="A34" t="s">
        <v>107</v>
      </c>
      <c r="B34">
        <v>1042</v>
      </c>
      <c r="C34" s="1">
        <v>44957</v>
      </c>
      <c r="D34" s="1" t="str">
        <f t="shared" si="0"/>
        <v>Jan</v>
      </c>
      <c r="E34" t="s">
        <v>108</v>
      </c>
      <c r="F34">
        <v>57</v>
      </c>
      <c r="G34" t="s">
        <v>21</v>
      </c>
      <c r="H34" t="s">
        <v>22</v>
      </c>
      <c r="I34" t="s">
        <v>33</v>
      </c>
      <c r="J34">
        <v>11</v>
      </c>
      <c r="K34" s="4" t="s">
        <v>39</v>
      </c>
      <c r="L34">
        <v>635.20000000000005</v>
      </c>
      <c r="M34">
        <v>814.14</v>
      </c>
      <c r="N34" t="s">
        <v>25</v>
      </c>
      <c r="O34" s="30">
        <v>0.02</v>
      </c>
      <c r="P34" t="s">
        <v>26</v>
      </c>
      <c r="Q34" t="s">
        <v>34</v>
      </c>
      <c r="R34" t="s">
        <v>28</v>
      </c>
      <c r="S34">
        <f t="shared" si="1"/>
        <v>8776.4291999999987</v>
      </c>
      <c r="T34">
        <f t="shared" si="2"/>
        <v>6987.2000000000007</v>
      </c>
      <c r="U34">
        <f t="shared" si="3"/>
        <v>1789.2291999999979</v>
      </c>
      <c r="V34" t="str">
        <f t="shared" si="4"/>
        <v>Senior</v>
      </c>
    </row>
    <row r="35" spans="1:22" x14ac:dyDescent="0.35">
      <c r="A35" t="s">
        <v>109</v>
      </c>
      <c r="B35">
        <v>1092</v>
      </c>
      <c r="C35" s="1">
        <v>44966</v>
      </c>
      <c r="D35" s="1" t="str">
        <f t="shared" si="0"/>
        <v>Feb</v>
      </c>
      <c r="E35" t="s">
        <v>110</v>
      </c>
      <c r="F35">
        <v>21</v>
      </c>
      <c r="G35" t="s">
        <v>21</v>
      </c>
      <c r="H35" t="s">
        <v>81</v>
      </c>
      <c r="I35" t="s">
        <v>23</v>
      </c>
      <c r="J35">
        <v>34</v>
      </c>
      <c r="K35" s="4" t="s">
        <v>24</v>
      </c>
      <c r="L35">
        <v>2037.41</v>
      </c>
      <c r="M35">
        <v>2238.65</v>
      </c>
      <c r="N35" t="s">
        <v>46</v>
      </c>
      <c r="O35" s="30">
        <v>0.3</v>
      </c>
      <c r="P35" t="s">
        <v>47</v>
      </c>
      <c r="Q35" t="s">
        <v>34</v>
      </c>
      <c r="R35" t="s">
        <v>28</v>
      </c>
      <c r="S35">
        <f t="shared" si="1"/>
        <v>53279.87</v>
      </c>
      <c r="T35">
        <f t="shared" si="2"/>
        <v>69271.94</v>
      </c>
      <c r="U35">
        <f t="shared" si="3"/>
        <v>-15992.07</v>
      </c>
      <c r="V35" t="str">
        <f t="shared" si="4"/>
        <v>Young</v>
      </c>
    </row>
    <row r="36" spans="1:22" x14ac:dyDescent="0.35">
      <c r="A36" t="s">
        <v>111</v>
      </c>
      <c r="B36">
        <v>1060</v>
      </c>
      <c r="C36" s="1">
        <v>45155</v>
      </c>
      <c r="D36" s="1" t="str">
        <f t="shared" si="0"/>
        <v>Aug</v>
      </c>
      <c r="E36" t="s">
        <v>112</v>
      </c>
      <c r="F36">
        <v>42</v>
      </c>
      <c r="G36" t="s">
        <v>21</v>
      </c>
      <c r="H36" t="s">
        <v>38</v>
      </c>
      <c r="I36" t="s">
        <v>33</v>
      </c>
      <c r="J36">
        <v>16</v>
      </c>
      <c r="K36" s="4" t="s">
        <v>45</v>
      </c>
      <c r="L36">
        <v>3975.99</v>
      </c>
      <c r="M36">
        <v>4422.59</v>
      </c>
      <c r="N36" t="s">
        <v>46</v>
      </c>
      <c r="O36" s="30">
        <v>0.24</v>
      </c>
      <c r="P36" t="s">
        <v>26</v>
      </c>
      <c r="Q36" t="s">
        <v>34</v>
      </c>
      <c r="R36" t="s">
        <v>35</v>
      </c>
      <c r="S36">
        <f t="shared" si="1"/>
        <v>53778.6944</v>
      </c>
      <c r="T36">
        <f t="shared" si="2"/>
        <v>63615.839999999997</v>
      </c>
      <c r="U36">
        <f t="shared" si="3"/>
        <v>-9837.1455999999962</v>
      </c>
      <c r="V36" t="str">
        <f t="shared" si="4"/>
        <v>Senior</v>
      </c>
    </row>
    <row r="37" spans="1:22" x14ac:dyDescent="0.35">
      <c r="A37" t="s">
        <v>113</v>
      </c>
      <c r="B37">
        <v>1080</v>
      </c>
      <c r="C37" s="1">
        <v>44962</v>
      </c>
      <c r="D37" s="1" t="str">
        <f t="shared" si="0"/>
        <v>Feb</v>
      </c>
      <c r="E37" t="s">
        <v>43</v>
      </c>
      <c r="F37">
        <v>20</v>
      </c>
      <c r="G37" t="s">
        <v>21</v>
      </c>
      <c r="H37" t="s">
        <v>32</v>
      </c>
      <c r="I37" t="s">
        <v>50</v>
      </c>
      <c r="J37">
        <v>9</v>
      </c>
      <c r="K37" s="4" t="s">
        <v>51</v>
      </c>
      <c r="L37">
        <v>1141.52</v>
      </c>
      <c r="M37">
        <v>1550.19</v>
      </c>
      <c r="N37" t="s">
        <v>46</v>
      </c>
      <c r="O37" s="30">
        <v>0.28000000000000003</v>
      </c>
      <c r="P37" t="s">
        <v>47</v>
      </c>
      <c r="Q37" t="s">
        <v>27</v>
      </c>
      <c r="R37" t="s">
        <v>28</v>
      </c>
      <c r="S37">
        <f t="shared" si="1"/>
        <v>10045.2312</v>
      </c>
      <c r="T37">
        <f t="shared" si="2"/>
        <v>10273.68</v>
      </c>
      <c r="U37">
        <f t="shared" si="3"/>
        <v>-228.44880000000012</v>
      </c>
      <c r="V37" t="str">
        <f t="shared" si="4"/>
        <v>Young</v>
      </c>
    </row>
    <row r="38" spans="1:22" x14ac:dyDescent="0.35">
      <c r="A38" t="s">
        <v>114</v>
      </c>
      <c r="B38">
        <v>1015</v>
      </c>
      <c r="C38" s="1">
        <v>45149</v>
      </c>
      <c r="D38" s="1" t="str">
        <f t="shared" si="0"/>
        <v>Aug</v>
      </c>
      <c r="E38" t="s">
        <v>115</v>
      </c>
      <c r="F38">
        <v>49</v>
      </c>
      <c r="G38" t="s">
        <v>31</v>
      </c>
      <c r="H38" t="s">
        <v>38</v>
      </c>
      <c r="I38" t="s">
        <v>50</v>
      </c>
      <c r="J38">
        <v>32</v>
      </c>
      <c r="K38" s="4" t="s">
        <v>24</v>
      </c>
      <c r="L38">
        <v>970.51</v>
      </c>
      <c r="M38">
        <v>1330.84</v>
      </c>
      <c r="N38" t="s">
        <v>25</v>
      </c>
      <c r="O38" s="30">
        <v>0.06</v>
      </c>
      <c r="P38" t="s">
        <v>26</v>
      </c>
      <c r="Q38" t="s">
        <v>34</v>
      </c>
      <c r="R38" t="s">
        <v>41</v>
      </c>
      <c r="S38">
        <f t="shared" si="1"/>
        <v>40031.667199999996</v>
      </c>
      <c r="T38">
        <f t="shared" si="2"/>
        <v>31056.32</v>
      </c>
      <c r="U38">
        <f t="shared" si="3"/>
        <v>8975.3471999999965</v>
      </c>
      <c r="V38" t="str">
        <f t="shared" si="4"/>
        <v>Senior</v>
      </c>
    </row>
    <row r="39" spans="1:22" x14ac:dyDescent="0.35">
      <c r="A39" t="s">
        <v>116</v>
      </c>
      <c r="B39">
        <v>1062</v>
      </c>
      <c r="C39" s="1">
        <v>44932</v>
      </c>
      <c r="D39" s="1" t="str">
        <f t="shared" si="0"/>
        <v>Jan</v>
      </c>
      <c r="E39" t="s">
        <v>117</v>
      </c>
      <c r="F39">
        <v>20</v>
      </c>
      <c r="G39" t="s">
        <v>31</v>
      </c>
      <c r="H39" t="s">
        <v>32</v>
      </c>
      <c r="I39" t="s">
        <v>44</v>
      </c>
      <c r="J39">
        <v>15</v>
      </c>
      <c r="K39" s="4" t="s">
        <v>45</v>
      </c>
      <c r="L39">
        <v>4756.55</v>
      </c>
      <c r="M39">
        <v>4888.46</v>
      </c>
      <c r="N39" t="s">
        <v>46</v>
      </c>
      <c r="O39" s="30">
        <v>0.28999999999999998</v>
      </c>
      <c r="P39" t="s">
        <v>47</v>
      </c>
      <c r="Q39" t="s">
        <v>27</v>
      </c>
      <c r="R39" t="s">
        <v>35</v>
      </c>
      <c r="S39">
        <f t="shared" si="1"/>
        <v>52062.098999999995</v>
      </c>
      <c r="T39">
        <f t="shared" si="2"/>
        <v>71348.25</v>
      </c>
      <c r="U39">
        <f t="shared" si="3"/>
        <v>-19286.151000000005</v>
      </c>
      <c r="V39" t="str">
        <f t="shared" si="4"/>
        <v>Young</v>
      </c>
    </row>
    <row r="40" spans="1:22" x14ac:dyDescent="0.35">
      <c r="A40" t="s">
        <v>118</v>
      </c>
      <c r="B40">
        <v>1062</v>
      </c>
      <c r="C40" s="1">
        <v>45248</v>
      </c>
      <c r="D40" s="1" t="str">
        <f t="shared" si="0"/>
        <v>Nov</v>
      </c>
      <c r="E40" t="s">
        <v>119</v>
      </c>
      <c r="F40">
        <v>44</v>
      </c>
      <c r="G40" t="s">
        <v>54</v>
      </c>
      <c r="H40" t="s">
        <v>81</v>
      </c>
      <c r="I40" t="s">
        <v>33</v>
      </c>
      <c r="J40">
        <v>12</v>
      </c>
      <c r="K40" s="4" t="s">
        <v>24</v>
      </c>
      <c r="L40">
        <v>1088.99</v>
      </c>
      <c r="M40">
        <v>1545</v>
      </c>
      <c r="N40" t="s">
        <v>25</v>
      </c>
      <c r="O40" s="30">
        <v>0.04</v>
      </c>
      <c r="P40" t="s">
        <v>40</v>
      </c>
      <c r="Q40" t="s">
        <v>27</v>
      </c>
      <c r="R40" t="s">
        <v>35</v>
      </c>
      <c r="S40">
        <f t="shared" si="1"/>
        <v>17798.399999999998</v>
      </c>
      <c r="T40">
        <f t="shared" si="2"/>
        <v>13067.880000000001</v>
      </c>
      <c r="U40">
        <f t="shared" si="3"/>
        <v>4730.5199999999968</v>
      </c>
      <c r="V40" t="str">
        <f t="shared" si="4"/>
        <v>Senior</v>
      </c>
    </row>
    <row r="41" spans="1:22" x14ac:dyDescent="0.35">
      <c r="A41" t="s">
        <v>120</v>
      </c>
      <c r="B41">
        <v>1047</v>
      </c>
      <c r="C41" s="1">
        <v>45146</v>
      </c>
      <c r="D41" s="1" t="str">
        <f t="shared" si="0"/>
        <v>Aug</v>
      </c>
      <c r="E41" t="s">
        <v>121</v>
      </c>
      <c r="F41">
        <v>46</v>
      </c>
      <c r="G41" t="s">
        <v>100</v>
      </c>
      <c r="H41" t="s">
        <v>54</v>
      </c>
      <c r="I41" t="s">
        <v>33</v>
      </c>
      <c r="J41">
        <v>33</v>
      </c>
      <c r="K41" s="4" t="s">
        <v>51</v>
      </c>
      <c r="L41">
        <v>1341.55</v>
      </c>
      <c r="M41">
        <v>1427.21</v>
      </c>
      <c r="N41" t="s">
        <v>25</v>
      </c>
      <c r="O41" s="30">
        <v>0.15</v>
      </c>
      <c r="P41" t="s">
        <v>47</v>
      </c>
      <c r="Q41" t="s">
        <v>27</v>
      </c>
      <c r="R41" t="s">
        <v>41</v>
      </c>
      <c r="S41">
        <f t="shared" si="1"/>
        <v>40033.2405</v>
      </c>
      <c r="T41">
        <f t="shared" si="2"/>
        <v>44271.15</v>
      </c>
      <c r="U41">
        <f t="shared" si="3"/>
        <v>-4237.9095000000016</v>
      </c>
      <c r="V41" t="str">
        <f t="shared" si="4"/>
        <v>Senior</v>
      </c>
    </row>
    <row r="42" spans="1:22" x14ac:dyDescent="0.35">
      <c r="A42" t="s">
        <v>122</v>
      </c>
      <c r="B42">
        <v>1062</v>
      </c>
      <c r="C42" s="1">
        <v>45001</v>
      </c>
      <c r="D42" s="1" t="str">
        <f t="shared" si="0"/>
        <v>Mar</v>
      </c>
      <c r="E42" t="s">
        <v>123</v>
      </c>
      <c r="F42">
        <v>49</v>
      </c>
      <c r="G42" t="s">
        <v>21</v>
      </c>
      <c r="H42" t="s">
        <v>22</v>
      </c>
      <c r="I42" t="s">
        <v>23</v>
      </c>
      <c r="J42">
        <v>45</v>
      </c>
      <c r="K42" s="4" t="s">
        <v>24</v>
      </c>
      <c r="L42">
        <v>4849.6000000000004</v>
      </c>
      <c r="M42">
        <v>5166.72</v>
      </c>
      <c r="N42" t="s">
        <v>25</v>
      </c>
      <c r="O42" s="30">
        <v>0.15</v>
      </c>
      <c r="P42" t="s">
        <v>47</v>
      </c>
      <c r="Q42" t="s">
        <v>34</v>
      </c>
      <c r="R42" t="s">
        <v>28</v>
      </c>
      <c r="S42">
        <f t="shared" si="1"/>
        <v>197627.04</v>
      </c>
      <c r="T42">
        <f t="shared" si="2"/>
        <v>218232.00000000003</v>
      </c>
      <c r="U42">
        <f t="shared" si="3"/>
        <v>-20604.960000000021</v>
      </c>
      <c r="V42" t="str">
        <f t="shared" si="4"/>
        <v>Senior</v>
      </c>
    </row>
    <row r="43" spans="1:22" x14ac:dyDescent="0.35">
      <c r="A43" t="s">
        <v>124</v>
      </c>
      <c r="B43">
        <v>1051</v>
      </c>
      <c r="C43" s="1">
        <v>44930</v>
      </c>
      <c r="D43" s="1" t="str">
        <f t="shared" si="0"/>
        <v>Jan</v>
      </c>
      <c r="E43" t="s">
        <v>125</v>
      </c>
      <c r="F43">
        <v>36</v>
      </c>
      <c r="G43" t="s">
        <v>54</v>
      </c>
      <c r="H43" t="s">
        <v>81</v>
      </c>
      <c r="I43" t="s">
        <v>44</v>
      </c>
      <c r="J43">
        <v>14</v>
      </c>
      <c r="K43" s="4" t="s">
        <v>51</v>
      </c>
      <c r="L43">
        <v>3686.81</v>
      </c>
      <c r="M43">
        <v>3710.92</v>
      </c>
      <c r="N43" t="s">
        <v>46</v>
      </c>
      <c r="O43" s="30">
        <v>0</v>
      </c>
      <c r="P43" t="s">
        <v>40</v>
      </c>
      <c r="Q43" t="s">
        <v>27</v>
      </c>
      <c r="R43" t="s">
        <v>35</v>
      </c>
      <c r="S43">
        <f t="shared" si="1"/>
        <v>51952.880000000005</v>
      </c>
      <c r="T43">
        <f t="shared" si="2"/>
        <v>51615.34</v>
      </c>
      <c r="U43">
        <f t="shared" si="3"/>
        <v>337.54000000000815</v>
      </c>
      <c r="V43" t="str">
        <f t="shared" si="4"/>
        <v>Adult</v>
      </c>
    </row>
    <row r="44" spans="1:22" x14ac:dyDescent="0.35">
      <c r="A44" t="s">
        <v>126</v>
      </c>
      <c r="B44">
        <v>1055</v>
      </c>
      <c r="C44" s="1">
        <v>45261</v>
      </c>
      <c r="D44" s="1" t="str">
        <f t="shared" si="0"/>
        <v>Dec</v>
      </c>
      <c r="E44" t="s">
        <v>127</v>
      </c>
      <c r="F44">
        <v>38</v>
      </c>
      <c r="G44" t="s">
        <v>100</v>
      </c>
      <c r="H44" t="s">
        <v>22</v>
      </c>
      <c r="I44" t="s">
        <v>33</v>
      </c>
      <c r="J44">
        <v>8</v>
      </c>
      <c r="K44" s="4" t="s">
        <v>24</v>
      </c>
      <c r="L44">
        <v>3513</v>
      </c>
      <c r="M44">
        <v>3838.42</v>
      </c>
      <c r="N44" t="s">
        <v>25</v>
      </c>
      <c r="O44" s="30">
        <v>0.13</v>
      </c>
      <c r="P44" t="s">
        <v>40</v>
      </c>
      <c r="Q44" t="s">
        <v>27</v>
      </c>
      <c r="R44" t="s">
        <v>35</v>
      </c>
      <c r="S44">
        <f t="shared" si="1"/>
        <v>26715.403200000001</v>
      </c>
      <c r="T44">
        <f t="shared" si="2"/>
        <v>28104</v>
      </c>
      <c r="U44">
        <f t="shared" si="3"/>
        <v>-1388.5967999999993</v>
      </c>
      <c r="V44" t="str">
        <f t="shared" si="4"/>
        <v>Adult</v>
      </c>
    </row>
    <row r="45" spans="1:22" x14ac:dyDescent="0.35">
      <c r="A45" t="s">
        <v>128</v>
      </c>
      <c r="B45">
        <v>1064</v>
      </c>
      <c r="C45" s="1">
        <v>45060</v>
      </c>
      <c r="D45" s="1" t="str">
        <f t="shared" si="0"/>
        <v>May</v>
      </c>
      <c r="E45" t="s">
        <v>129</v>
      </c>
      <c r="F45">
        <v>22</v>
      </c>
      <c r="G45" t="s">
        <v>65</v>
      </c>
      <c r="H45" t="s">
        <v>54</v>
      </c>
      <c r="I45" t="s">
        <v>44</v>
      </c>
      <c r="J45">
        <v>8</v>
      </c>
      <c r="K45" s="4" t="s">
        <v>51</v>
      </c>
      <c r="L45">
        <v>4271.99</v>
      </c>
      <c r="M45">
        <v>4417.79</v>
      </c>
      <c r="N45" t="s">
        <v>25</v>
      </c>
      <c r="O45" s="30">
        <v>0.04</v>
      </c>
      <c r="P45" t="s">
        <v>26</v>
      </c>
      <c r="Q45" t="s">
        <v>34</v>
      </c>
      <c r="R45" t="s">
        <v>41</v>
      </c>
      <c r="S45">
        <f t="shared" si="1"/>
        <v>33928.627199999995</v>
      </c>
      <c r="T45">
        <f t="shared" si="2"/>
        <v>34175.919999999998</v>
      </c>
      <c r="U45">
        <f t="shared" si="3"/>
        <v>-247.2928000000029</v>
      </c>
      <c r="V45" t="str">
        <f t="shared" si="4"/>
        <v>Young</v>
      </c>
    </row>
    <row r="46" spans="1:22" x14ac:dyDescent="0.35">
      <c r="A46" t="s">
        <v>130</v>
      </c>
      <c r="B46">
        <v>1003</v>
      </c>
      <c r="C46" s="1">
        <v>45044</v>
      </c>
      <c r="D46" s="1" t="str">
        <f t="shared" si="0"/>
        <v>Apr</v>
      </c>
      <c r="E46" t="s">
        <v>131</v>
      </c>
      <c r="F46">
        <v>35</v>
      </c>
      <c r="G46" t="s">
        <v>31</v>
      </c>
      <c r="H46" t="s">
        <v>54</v>
      </c>
      <c r="I46" t="s">
        <v>50</v>
      </c>
      <c r="J46">
        <v>27</v>
      </c>
      <c r="K46" s="4" t="s">
        <v>24</v>
      </c>
      <c r="L46">
        <v>623.32000000000005</v>
      </c>
      <c r="M46">
        <v>853.66</v>
      </c>
      <c r="N46" t="s">
        <v>25</v>
      </c>
      <c r="O46" s="30">
        <v>0.04</v>
      </c>
      <c r="P46" t="s">
        <v>26</v>
      </c>
      <c r="Q46" t="s">
        <v>34</v>
      </c>
      <c r="R46" t="s">
        <v>41</v>
      </c>
      <c r="S46">
        <f t="shared" si="1"/>
        <v>22126.867200000001</v>
      </c>
      <c r="T46">
        <f t="shared" si="2"/>
        <v>16829.640000000003</v>
      </c>
      <c r="U46">
        <f t="shared" si="3"/>
        <v>5297.2271999999975</v>
      </c>
      <c r="V46" t="str">
        <f t="shared" si="4"/>
        <v>Adult</v>
      </c>
    </row>
    <row r="47" spans="1:22" x14ac:dyDescent="0.35">
      <c r="A47" t="s">
        <v>132</v>
      </c>
      <c r="B47">
        <v>1051</v>
      </c>
      <c r="C47" s="1">
        <v>45020</v>
      </c>
      <c r="D47" s="1" t="str">
        <f t="shared" si="0"/>
        <v>Apr</v>
      </c>
      <c r="E47" t="s">
        <v>127</v>
      </c>
      <c r="F47">
        <v>45</v>
      </c>
      <c r="G47" t="s">
        <v>100</v>
      </c>
      <c r="H47" t="s">
        <v>81</v>
      </c>
      <c r="I47" t="s">
        <v>33</v>
      </c>
      <c r="J47">
        <v>12</v>
      </c>
      <c r="K47" s="4" t="s">
        <v>51</v>
      </c>
      <c r="L47">
        <v>3544.48</v>
      </c>
      <c r="M47">
        <v>3723.66</v>
      </c>
      <c r="N47" t="s">
        <v>25</v>
      </c>
      <c r="O47" s="30">
        <v>0.06</v>
      </c>
      <c r="P47" t="s">
        <v>26</v>
      </c>
      <c r="Q47" t="s">
        <v>27</v>
      </c>
      <c r="R47" t="s">
        <v>28</v>
      </c>
      <c r="S47">
        <f t="shared" si="1"/>
        <v>42002.884799999993</v>
      </c>
      <c r="T47">
        <f t="shared" si="2"/>
        <v>42533.760000000002</v>
      </c>
      <c r="U47">
        <f t="shared" si="3"/>
        <v>-530.8752000000095</v>
      </c>
      <c r="V47" t="str">
        <f t="shared" si="4"/>
        <v>Senior</v>
      </c>
    </row>
    <row r="48" spans="1:22" x14ac:dyDescent="0.35">
      <c r="A48" t="s">
        <v>133</v>
      </c>
      <c r="B48">
        <v>1007</v>
      </c>
      <c r="C48" s="1">
        <v>44988</v>
      </c>
      <c r="D48" s="1" t="str">
        <f t="shared" si="0"/>
        <v>Mar</v>
      </c>
      <c r="E48" t="s">
        <v>123</v>
      </c>
      <c r="F48">
        <v>59</v>
      </c>
      <c r="G48" t="s">
        <v>65</v>
      </c>
      <c r="H48" t="s">
        <v>54</v>
      </c>
      <c r="I48" t="s">
        <v>33</v>
      </c>
      <c r="J48">
        <v>1</v>
      </c>
      <c r="K48" s="4" t="s">
        <v>39</v>
      </c>
      <c r="L48">
        <v>2543.2600000000002</v>
      </c>
      <c r="M48">
        <v>2637.91</v>
      </c>
      <c r="N48" t="s">
        <v>25</v>
      </c>
      <c r="O48" s="30">
        <v>0.2</v>
      </c>
      <c r="P48" t="s">
        <v>47</v>
      </c>
      <c r="Q48" t="s">
        <v>27</v>
      </c>
      <c r="R48" t="s">
        <v>35</v>
      </c>
      <c r="S48">
        <f t="shared" si="1"/>
        <v>2110.328</v>
      </c>
      <c r="T48">
        <f t="shared" si="2"/>
        <v>2543.2600000000002</v>
      </c>
      <c r="U48">
        <f t="shared" si="3"/>
        <v>-432.93200000000024</v>
      </c>
      <c r="V48" t="str">
        <f t="shared" si="4"/>
        <v>Senior</v>
      </c>
    </row>
    <row r="49" spans="1:22" x14ac:dyDescent="0.35">
      <c r="A49" t="s">
        <v>134</v>
      </c>
      <c r="B49">
        <v>1021</v>
      </c>
      <c r="C49" s="1">
        <v>45120</v>
      </c>
      <c r="D49" s="1" t="str">
        <f t="shared" si="0"/>
        <v>Jul</v>
      </c>
      <c r="E49" t="s">
        <v>135</v>
      </c>
      <c r="F49">
        <v>39</v>
      </c>
      <c r="G49" t="s">
        <v>100</v>
      </c>
      <c r="H49" t="s">
        <v>32</v>
      </c>
      <c r="I49" t="s">
        <v>44</v>
      </c>
      <c r="J49">
        <v>43</v>
      </c>
      <c r="K49" s="4" t="s">
        <v>24</v>
      </c>
      <c r="L49">
        <v>4154.3</v>
      </c>
      <c r="M49">
        <v>4469.07</v>
      </c>
      <c r="N49" t="s">
        <v>25</v>
      </c>
      <c r="O49" s="30">
        <v>0.05</v>
      </c>
      <c r="P49" t="s">
        <v>26</v>
      </c>
      <c r="Q49" t="s">
        <v>34</v>
      </c>
      <c r="R49" t="s">
        <v>28</v>
      </c>
      <c r="S49">
        <f t="shared" si="1"/>
        <v>182561.50949999999</v>
      </c>
      <c r="T49">
        <f t="shared" si="2"/>
        <v>178634.9</v>
      </c>
      <c r="U49">
        <f t="shared" si="3"/>
        <v>3926.6094999999914</v>
      </c>
      <c r="V49" t="str">
        <f t="shared" si="4"/>
        <v>Adult</v>
      </c>
    </row>
    <row r="50" spans="1:22" x14ac:dyDescent="0.35">
      <c r="A50" t="s">
        <v>136</v>
      </c>
      <c r="B50">
        <v>1073</v>
      </c>
      <c r="C50" s="1">
        <v>45261</v>
      </c>
      <c r="D50" s="1" t="str">
        <f t="shared" si="0"/>
        <v>Dec</v>
      </c>
      <c r="E50" t="s">
        <v>137</v>
      </c>
      <c r="F50">
        <v>38</v>
      </c>
      <c r="G50" t="s">
        <v>31</v>
      </c>
      <c r="H50" t="s">
        <v>54</v>
      </c>
      <c r="I50" t="s">
        <v>33</v>
      </c>
      <c r="J50">
        <v>40</v>
      </c>
      <c r="K50" s="4" t="s">
        <v>24</v>
      </c>
      <c r="L50">
        <v>2565.3000000000002</v>
      </c>
      <c r="M50">
        <v>3007.47</v>
      </c>
      <c r="N50" t="s">
        <v>25</v>
      </c>
      <c r="O50" s="30">
        <v>0.17</v>
      </c>
      <c r="P50" t="s">
        <v>47</v>
      </c>
      <c r="Q50" t="s">
        <v>34</v>
      </c>
      <c r="R50" t="s">
        <v>28</v>
      </c>
      <c r="S50">
        <f t="shared" si="1"/>
        <v>99848.003999999986</v>
      </c>
      <c r="T50">
        <f t="shared" si="2"/>
        <v>102612</v>
      </c>
      <c r="U50">
        <f t="shared" si="3"/>
        <v>-2763.9960000000137</v>
      </c>
      <c r="V50" t="str">
        <f t="shared" si="4"/>
        <v>Adult</v>
      </c>
    </row>
    <row r="51" spans="1:22" x14ac:dyDescent="0.35">
      <c r="A51" t="s">
        <v>138</v>
      </c>
      <c r="B51">
        <v>1039</v>
      </c>
      <c r="C51" s="1">
        <v>45129</v>
      </c>
      <c r="D51" s="1" t="str">
        <f t="shared" si="0"/>
        <v>Jul</v>
      </c>
      <c r="E51" t="s">
        <v>139</v>
      </c>
      <c r="F51">
        <v>23</v>
      </c>
      <c r="G51" t="s">
        <v>31</v>
      </c>
      <c r="H51" t="s">
        <v>22</v>
      </c>
      <c r="I51" t="s">
        <v>44</v>
      </c>
      <c r="J51">
        <v>42</v>
      </c>
      <c r="K51" s="4" t="s">
        <v>45</v>
      </c>
      <c r="L51">
        <v>3120.19</v>
      </c>
      <c r="M51">
        <v>3600.14</v>
      </c>
      <c r="N51" t="s">
        <v>25</v>
      </c>
      <c r="O51" s="30">
        <v>0.19</v>
      </c>
      <c r="P51" t="s">
        <v>47</v>
      </c>
      <c r="Q51" t="s">
        <v>34</v>
      </c>
      <c r="R51" t="s">
        <v>41</v>
      </c>
      <c r="S51">
        <f t="shared" si="1"/>
        <v>122476.76280000001</v>
      </c>
      <c r="T51">
        <f t="shared" si="2"/>
        <v>131047.98</v>
      </c>
      <c r="U51">
        <f t="shared" si="3"/>
        <v>-8571.2171999999846</v>
      </c>
      <c r="V51" t="str">
        <f t="shared" si="4"/>
        <v>Young</v>
      </c>
    </row>
    <row r="52" spans="1:22" x14ac:dyDescent="0.35">
      <c r="A52" t="s">
        <v>140</v>
      </c>
      <c r="B52">
        <v>1018</v>
      </c>
      <c r="C52" s="1">
        <v>44952</v>
      </c>
      <c r="D52" s="1" t="str">
        <f t="shared" si="0"/>
        <v>Jan</v>
      </c>
      <c r="E52" t="s">
        <v>141</v>
      </c>
      <c r="F52">
        <v>18</v>
      </c>
      <c r="G52" t="s">
        <v>54</v>
      </c>
      <c r="H52" t="s">
        <v>22</v>
      </c>
      <c r="I52" t="s">
        <v>33</v>
      </c>
      <c r="J52">
        <v>11</v>
      </c>
      <c r="K52" s="4" t="s">
        <v>45</v>
      </c>
      <c r="L52">
        <v>2414.8200000000002</v>
      </c>
      <c r="M52">
        <v>2519.0700000000002</v>
      </c>
      <c r="N52" t="s">
        <v>25</v>
      </c>
      <c r="O52" s="30">
        <v>0</v>
      </c>
      <c r="P52" t="s">
        <v>26</v>
      </c>
      <c r="Q52" t="s">
        <v>27</v>
      </c>
      <c r="R52" t="s">
        <v>35</v>
      </c>
      <c r="S52">
        <f t="shared" si="1"/>
        <v>27709.77</v>
      </c>
      <c r="T52">
        <f t="shared" si="2"/>
        <v>26563.02</v>
      </c>
      <c r="U52">
        <f t="shared" si="3"/>
        <v>1146.75</v>
      </c>
      <c r="V52" t="str">
        <f t="shared" si="4"/>
        <v>Young</v>
      </c>
    </row>
    <row r="53" spans="1:22" x14ac:dyDescent="0.35">
      <c r="A53" t="s">
        <v>142</v>
      </c>
      <c r="B53">
        <v>1004</v>
      </c>
      <c r="C53" s="1">
        <v>45099</v>
      </c>
      <c r="D53" s="1" t="str">
        <f t="shared" si="0"/>
        <v>Jun</v>
      </c>
      <c r="E53" t="s">
        <v>143</v>
      </c>
      <c r="F53">
        <v>22</v>
      </c>
      <c r="G53" t="s">
        <v>21</v>
      </c>
      <c r="H53" t="s">
        <v>22</v>
      </c>
      <c r="I53" t="s">
        <v>23</v>
      </c>
      <c r="J53">
        <v>39</v>
      </c>
      <c r="K53" s="4" t="s">
        <v>51</v>
      </c>
      <c r="L53">
        <v>2416.89</v>
      </c>
      <c r="M53">
        <v>2778.4</v>
      </c>
      <c r="N53" t="s">
        <v>25</v>
      </c>
      <c r="O53" s="30">
        <v>0.05</v>
      </c>
      <c r="P53" t="s">
        <v>26</v>
      </c>
      <c r="Q53" t="s">
        <v>34</v>
      </c>
      <c r="R53" t="s">
        <v>35</v>
      </c>
      <c r="S53">
        <f t="shared" si="1"/>
        <v>102939.72</v>
      </c>
      <c r="T53">
        <f t="shared" si="2"/>
        <v>94258.709999999992</v>
      </c>
      <c r="U53">
        <f t="shared" si="3"/>
        <v>8681.0100000000093</v>
      </c>
      <c r="V53" t="str">
        <f t="shared" si="4"/>
        <v>Young</v>
      </c>
    </row>
    <row r="54" spans="1:22" x14ac:dyDescent="0.35">
      <c r="A54" t="s">
        <v>144</v>
      </c>
      <c r="B54">
        <v>1089</v>
      </c>
      <c r="C54" s="1">
        <v>45226</v>
      </c>
      <c r="D54" s="1" t="str">
        <f t="shared" si="0"/>
        <v>Oct</v>
      </c>
      <c r="E54" t="s">
        <v>145</v>
      </c>
      <c r="F54">
        <v>58</v>
      </c>
      <c r="G54" t="s">
        <v>100</v>
      </c>
      <c r="H54" t="s">
        <v>22</v>
      </c>
      <c r="I54" t="s">
        <v>44</v>
      </c>
      <c r="J54">
        <v>43</v>
      </c>
      <c r="K54" s="4" t="s">
        <v>24</v>
      </c>
      <c r="L54">
        <v>3851.45</v>
      </c>
      <c r="M54">
        <v>4186.9799999999996</v>
      </c>
      <c r="N54" t="s">
        <v>25</v>
      </c>
      <c r="O54" s="30">
        <v>0.1</v>
      </c>
      <c r="P54" t="s">
        <v>47</v>
      </c>
      <c r="Q54" t="s">
        <v>34</v>
      </c>
      <c r="R54" t="s">
        <v>35</v>
      </c>
      <c r="S54">
        <f t="shared" si="1"/>
        <v>162036.12599999999</v>
      </c>
      <c r="T54">
        <f t="shared" si="2"/>
        <v>165612.35</v>
      </c>
      <c r="U54">
        <f t="shared" si="3"/>
        <v>-3576.2240000000165</v>
      </c>
      <c r="V54" t="str">
        <f t="shared" si="4"/>
        <v>Senior</v>
      </c>
    </row>
    <row r="55" spans="1:22" x14ac:dyDescent="0.35">
      <c r="A55" t="s">
        <v>146</v>
      </c>
      <c r="B55">
        <v>1060</v>
      </c>
      <c r="C55" s="1">
        <v>45059</v>
      </c>
      <c r="D55" s="1" t="str">
        <f t="shared" si="0"/>
        <v>May</v>
      </c>
      <c r="E55" t="s">
        <v>121</v>
      </c>
      <c r="F55">
        <v>29</v>
      </c>
      <c r="G55" t="s">
        <v>100</v>
      </c>
      <c r="H55" t="s">
        <v>32</v>
      </c>
      <c r="I55" t="s">
        <v>33</v>
      </c>
      <c r="J55">
        <v>31</v>
      </c>
      <c r="K55" s="4" t="s">
        <v>51</v>
      </c>
      <c r="L55">
        <v>3161.4</v>
      </c>
      <c r="M55">
        <v>3339.66</v>
      </c>
      <c r="N55" t="s">
        <v>25</v>
      </c>
      <c r="O55" s="30">
        <v>0.02</v>
      </c>
      <c r="P55" t="s">
        <v>40</v>
      </c>
      <c r="Q55" t="s">
        <v>34</v>
      </c>
      <c r="R55" t="s">
        <v>41</v>
      </c>
      <c r="S55">
        <f t="shared" si="1"/>
        <v>101458.87079999999</v>
      </c>
      <c r="T55">
        <f t="shared" si="2"/>
        <v>98003.400000000009</v>
      </c>
      <c r="U55">
        <f t="shared" si="3"/>
        <v>3455.470799999981</v>
      </c>
      <c r="V55" t="str">
        <f t="shared" si="4"/>
        <v>Adult</v>
      </c>
    </row>
    <row r="56" spans="1:22" x14ac:dyDescent="0.35">
      <c r="A56" t="s">
        <v>147</v>
      </c>
      <c r="B56">
        <v>1014</v>
      </c>
      <c r="C56" s="1">
        <v>45252</v>
      </c>
      <c r="D56" s="1" t="str">
        <f t="shared" si="0"/>
        <v>Nov</v>
      </c>
      <c r="E56" t="s">
        <v>148</v>
      </c>
      <c r="F56">
        <v>43</v>
      </c>
      <c r="G56" t="s">
        <v>65</v>
      </c>
      <c r="H56" t="s">
        <v>38</v>
      </c>
      <c r="I56" t="s">
        <v>50</v>
      </c>
      <c r="J56">
        <v>17</v>
      </c>
      <c r="K56" s="4" t="s">
        <v>39</v>
      </c>
      <c r="L56">
        <v>3184.65</v>
      </c>
      <c r="M56">
        <v>3204.01</v>
      </c>
      <c r="N56" t="s">
        <v>46</v>
      </c>
      <c r="O56" s="30">
        <v>0.06</v>
      </c>
      <c r="P56" t="s">
        <v>40</v>
      </c>
      <c r="Q56" t="s">
        <v>27</v>
      </c>
      <c r="R56" t="s">
        <v>41</v>
      </c>
      <c r="S56">
        <f t="shared" si="1"/>
        <v>51200.0798</v>
      </c>
      <c r="T56">
        <f t="shared" si="2"/>
        <v>54139.05</v>
      </c>
      <c r="U56">
        <f t="shared" si="3"/>
        <v>-2938.9702000000034</v>
      </c>
      <c r="V56" t="str">
        <f t="shared" si="4"/>
        <v>Senior</v>
      </c>
    </row>
    <row r="57" spans="1:22" x14ac:dyDescent="0.35">
      <c r="A57" t="s">
        <v>149</v>
      </c>
      <c r="B57">
        <v>1009</v>
      </c>
      <c r="C57" s="1">
        <v>45044</v>
      </c>
      <c r="D57" s="1" t="str">
        <f t="shared" si="0"/>
        <v>Apr</v>
      </c>
      <c r="E57" t="s">
        <v>150</v>
      </c>
      <c r="F57">
        <v>63</v>
      </c>
      <c r="G57" t="s">
        <v>31</v>
      </c>
      <c r="H57" t="s">
        <v>81</v>
      </c>
      <c r="I57" t="s">
        <v>33</v>
      </c>
      <c r="J57">
        <v>33</v>
      </c>
      <c r="K57" s="4" t="s">
        <v>45</v>
      </c>
      <c r="L57">
        <v>2278.9</v>
      </c>
      <c r="M57">
        <v>2626.9</v>
      </c>
      <c r="N57" t="s">
        <v>46</v>
      </c>
      <c r="O57" s="30">
        <v>0.05</v>
      </c>
      <c r="P57" t="s">
        <v>47</v>
      </c>
      <c r="Q57" t="s">
        <v>34</v>
      </c>
      <c r="R57" t="s">
        <v>41</v>
      </c>
      <c r="S57">
        <f t="shared" si="1"/>
        <v>82353.314999999988</v>
      </c>
      <c r="T57">
        <f t="shared" si="2"/>
        <v>75203.7</v>
      </c>
      <c r="U57">
        <f t="shared" si="3"/>
        <v>7149.6149999999907</v>
      </c>
      <c r="V57" t="str">
        <f t="shared" si="4"/>
        <v>Senior</v>
      </c>
    </row>
    <row r="58" spans="1:22" x14ac:dyDescent="0.35">
      <c r="A58" t="s">
        <v>151</v>
      </c>
      <c r="B58">
        <v>1090</v>
      </c>
      <c r="C58" s="1">
        <v>45250</v>
      </c>
      <c r="D58" s="1" t="str">
        <f t="shared" si="0"/>
        <v>Nov</v>
      </c>
      <c r="E58" t="s">
        <v>152</v>
      </c>
      <c r="F58">
        <v>51</v>
      </c>
      <c r="G58" t="s">
        <v>100</v>
      </c>
      <c r="H58" t="s">
        <v>22</v>
      </c>
      <c r="I58" t="s">
        <v>50</v>
      </c>
      <c r="J58">
        <v>32</v>
      </c>
      <c r="K58" s="4" t="s">
        <v>51</v>
      </c>
      <c r="L58">
        <v>2678.99</v>
      </c>
      <c r="M58">
        <v>3152.28</v>
      </c>
      <c r="N58" t="s">
        <v>25</v>
      </c>
      <c r="O58" s="30">
        <v>0.22</v>
      </c>
      <c r="P58" t="s">
        <v>26</v>
      </c>
      <c r="Q58" t="s">
        <v>34</v>
      </c>
      <c r="R58" t="s">
        <v>41</v>
      </c>
      <c r="S58">
        <f t="shared" si="1"/>
        <v>78680.908800000005</v>
      </c>
      <c r="T58">
        <f t="shared" si="2"/>
        <v>85727.679999999993</v>
      </c>
      <c r="U58">
        <f t="shared" si="3"/>
        <v>-7046.7711999999883</v>
      </c>
      <c r="V58" t="str">
        <f t="shared" si="4"/>
        <v>Senior</v>
      </c>
    </row>
    <row r="59" spans="1:22" x14ac:dyDescent="0.35">
      <c r="A59" t="s">
        <v>153</v>
      </c>
      <c r="B59">
        <v>1053</v>
      </c>
      <c r="C59" s="1">
        <v>45201</v>
      </c>
      <c r="D59" s="1" t="str">
        <f t="shared" si="0"/>
        <v>Oct</v>
      </c>
      <c r="E59" t="s">
        <v>154</v>
      </c>
      <c r="F59">
        <v>31</v>
      </c>
      <c r="G59" t="s">
        <v>31</v>
      </c>
      <c r="H59" t="s">
        <v>54</v>
      </c>
      <c r="I59" t="s">
        <v>50</v>
      </c>
      <c r="J59">
        <v>29</v>
      </c>
      <c r="K59" s="4" t="s">
        <v>51</v>
      </c>
      <c r="L59">
        <v>3741.3</v>
      </c>
      <c r="M59">
        <v>4061.04</v>
      </c>
      <c r="N59" t="s">
        <v>25</v>
      </c>
      <c r="O59" s="30">
        <v>0.05</v>
      </c>
      <c r="P59" t="s">
        <v>47</v>
      </c>
      <c r="Q59" t="s">
        <v>34</v>
      </c>
      <c r="R59" t="s">
        <v>41</v>
      </c>
      <c r="S59">
        <f t="shared" si="1"/>
        <v>111881.652</v>
      </c>
      <c r="T59">
        <f t="shared" si="2"/>
        <v>108497.70000000001</v>
      </c>
      <c r="U59">
        <f t="shared" si="3"/>
        <v>3383.9519999999902</v>
      </c>
      <c r="V59" t="str">
        <f t="shared" si="4"/>
        <v>Adult</v>
      </c>
    </row>
    <row r="60" spans="1:22" x14ac:dyDescent="0.35">
      <c r="A60" t="s">
        <v>155</v>
      </c>
      <c r="B60">
        <v>1002</v>
      </c>
      <c r="C60" s="1">
        <v>45138</v>
      </c>
      <c r="D60" s="1" t="str">
        <f t="shared" si="0"/>
        <v>Jul</v>
      </c>
      <c r="E60" t="s">
        <v>156</v>
      </c>
      <c r="F60">
        <v>43</v>
      </c>
      <c r="G60" t="s">
        <v>100</v>
      </c>
      <c r="H60" t="s">
        <v>22</v>
      </c>
      <c r="I60" t="s">
        <v>23</v>
      </c>
      <c r="J60">
        <v>21</v>
      </c>
      <c r="K60" s="4" t="s">
        <v>45</v>
      </c>
      <c r="L60">
        <v>4138.41</v>
      </c>
      <c r="M60">
        <v>4361.7</v>
      </c>
      <c r="N60" t="s">
        <v>25</v>
      </c>
      <c r="O60" s="30">
        <v>7.0000000000000007E-2</v>
      </c>
      <c r="P60" t="s">
        <v>47</v>
      </c>
      <c r="Q60" t="s">
        <v>34</v>
      </c>
      <c r="R60" t="s">
        <v>35</v>
      </c>
      <c r="S60">
        <f t="shared" si="1"/>
        <v>85184.000999999989</v>
      </c>
      <c r="T60">
        <f t="shared" si="2"/>
        <v>86906.61</v>
      </c>
      <c r="U60">
        <f t="shared" si="3"/>
        <v>-1722.6090000000113</v>
      </c>
      <c r="V60" t="str">
        <f t="shared" si="4"/>
        <v>Senior</v>
      </c>
    </row>
    <row r="61" spans="1:22" x14ac:dyDescent="0.35">
      <c r="A61" t="s">
        <v>157</v>
      </c>
      <c r="B61">
        <v>1084</v>
      </c>
      <c r="C61" s="1">
        <v>45151</v>
      </c>
      <c r="D61" s="1" t="str">
        <f t="shared" si="0"/>
        <v>Aug</v>
      </c>
      <c r="E61" t="s">
        <v>158</v>
      </c>
      <c r="F61">
        <v>62</v>
      </c>
      <c r="G61" t="s">
        <v>54</v>
      </c>
      <c r="H61" t="s">
        <v>54</v>
      </c>
      <c r="I61" t="s">
        <v>44</v>
      </c>
      <c r="J61">
        <v>21</v>
      </c>
      <c r="K61" s="4" t="s">
        <v>24</v>
      </c>
      <c r="L61">
        <v>3497.98</v>
      </c>
      <c r="M61">
        <v>3765.31</v>
      </c>
      <c r="N61" t="s">
        <v>46</v>
      </c>
      <c r="O61" s="30">
        <v>0.08</v>
      </c>
      <c r="P61" t="s">
        <v>26</v>
      </c>
      <c r="Q61" t="s">
        <v>34</v>
      </c>
      <c r="R61" t="s">
        <v>28</v>
      </c>
      <c r="S61">
        <f t="shared" si="1"/>
        <v>72745.789199999999</v>
      </c>
      <c r="T61">
        <f t="shared" si="2"/>
        <v>73457.58</v>
      </c>
      <c r="U61">
        <f t="shared" si="3"/>
        <v>-711.79080000000249</v>
      </c>
      <c r="V61" t="str">
        <f t="shared" si="4"/>
        <v>Senior</v>
      </c>
    </row>
    <row r="62" spans="1:22" x14ac:dyDescent="0.35">
      <c r="A62" t="s">
        <v>159</v>
      </c>
      <c r="B62">
        <v>1092</v>
      </c>
      <c r="C62" s="1">
        <v>44946</v>
      </c>
      <c r="D62" s="1" t="str">
        <f t="shared" si="0"/>
        <v>Jan</v>
      </c>
      <c r="E62" t="s">
        <v>160</v>
      </c>
      <c r="F62">
        <v>44</v>
      </c>
      <c r="G62" t="s">
        <v>21</v>
      </c>
      <c r="H62" t="s">
        <v>54</v>
      </c>
      <c r="I62" t="s">
        <v>33</v>
      </c>
      <c r="J62">
        <v>40</v>
      </c>
      <c r="K62" s="4" t="s">
        <v>51</v>
      </c>
      <c r="L62">
        <v>4624.16</v>
      </c>
      <c r="M62">
        <v>4731.9799999999996</v>
      </c>
      <c r="N62" t="s">
        <v>46</v>
      </c>
      <c r="O62" s="30">
        <v>0.2</v>
      </c>
      <c r="P62" t="s">
        <v>40</v>
      </c>
      <c r="Q62" t="s">
        <v>27</v>
      </c>
      <c r="R62" t="s">
        <v>35</v>
      </c>
      <c r="S62">
        <f t="shared" si="1"/>
        <v>151423.35999999999</v>
      </c>
      <c r="T62">
        <f t="shared" si="2"/>
        <v>184966.39999999999</v>
      </c>
      <c r="U62">
        <f t="shared" si="3"/>
        <v>-33543.040000000008</v>
      </c>
      <c r="V62" t="str">
        <f t="shared" si="4"/>
        <v>Senior</v>
      </c>
    </row>
    <row r="63" spans="1:22" x14ac:dyDescent="0.35">
      <c r="A63" t="s">
        <v>161</v>
      </c>
      <c r="B63">
        <v>1060</v>
      </c>
      <c r="C63" s="1">
        <v>45039</v>
      </c>
      <c r="D63" s="1" t="str">
        <f t="shared" si="0"/>
        <v>Apr</v>
      </c>
      <c r="E63" t="s">
        <v>162</v>
      </c>
      <c r="F63">
        <v>26</v>
      </c>
      <c r="G63" t="s">
        <v>100</v>
      </c>
      <c r="H63" t="s">
        <v>22</v>
      </c>
      <c r="I63" t="s">
        <v>23</v>
      </c>
      <c r="J63">
        <v>23</v>
      </c>
      <c r="K63" s="4" t="s">
        <v>45</v>
      </c>
      <c r="L63">
        <v>4110.6000000000004</v>
      </c>
      <c r="M63">
        <v>4488.37</v>
      </c>
      <c r="N63" t="s">
        <v>46</v>
      </c>
      <c r="O63" s="30">
        <v>0.12</v>
      </c>
      <c r="P63" t="s">
        <v>47</v>
      </c>
      <c r="Q63" t="s">
        <v>27</v>
      </c>
      <c r="R63" t="s">
        <v>28</v>
      </c>
      <c r="S63">
        <f t="shared" si="1"/>
        <v>90844.608800000002</v>
      </c>
      <c r="T63">
        <f t="shared" si="2"/>
        <v>94543.8</v>
      </c>
      <c r="U63">
        <f t="shared" si="3"/>
        <v>-3699.1912000000011</v>
      </c>
      <c r="V63" t="str">
        <f t="shared" si="4"/>
        <v>Adult</v>
      </c>
    </row>
    <row r="64" spans="1:22" x14ac:dyDescent="0.35">
      <c r="A64" t="s">
        <v>163</v>
      </c>
      <c r="B64">
        <v>1071</v>
      </c>
      <c r="C64" s="1">
        <v>45066</v>
      </c>
      <c r="D64" s="1" t="str">
        <f t="shared" si="0"/>
        <v>May</v>
      </c>
      <c r="E64" t="s">
        <v>164</v>
      </c>
      <c r="F64">
        <v>43</v>
      </c>
      <c r="G64" t="s">
        <v>31</v>
      </c>
      <c r="H64" t="s">
        <v>32</v>
      </c>
      <c r="I64" t="s">
        <v>33</v>
      </c>
      <c r="J64">
        <v>6</v>
      </c>
      <c r="K64" s="4" t="s">
        <v>24</v>
      </c>
      <c r="L64">
        <v>2831.23</v>
      </c>
      <c r="M64">
        <v>3206.98</v>
      </c>
      <c r="N64" t="s">
        <v>25</v>
      </c>
      <c r="O64" s="30">
        <v>0.06</v>
      </c>
      <c r="P64" t="s">
        <v>40</v>
      </c>
      <c r="Q64" t="s">
        <v>27</v>
      </c>
      <c r="R64" t="s">
        <v>41</v>
      </c>
      <c r="S64">
        <f t="shared" si="1"/>
        <v>18087.367200000001</v>
      </c>
      <c r="T64">
        <f t="shared" si="2"/>
        <v>16987.38</v>
      </c>
      <c r="U64">
        <f t="shared" si="3"/>
        <v>1099.9871999999996</v>
      </c>
      <c r="V64" t="str">
        <f t="shared" si="4"/>
        <v>Senior</v>
      </c>
    </row>
    <row r="65" spans="1:22" x14ac:dyDescent="0.35">
      <c r="A65" t="s">
        <v>165</v>
      </c>
      <c r="B65">
        <v>1044</v>
      </c>
      <c r="C65" s="1">
        <v>44973</v>
      </c>
      <c r="D65" s="1" t="str">
        <f t="shared" si="0"/>
        <v>Feb</v>
      </c>
      <c r="E65" t="s">
        <v>166</v>
      </c>
      <c r="F65">
        <v>64</v>
      </c>
      <c r="G65" t="s">
        <v>54</v>
      </c>
      <c r="H65" t="s">
        <v>54</v>
      </c>
      <c r="I65" t="s">
        <v>50</v>
      </c>
      <c r="J65">
        <v>22</v>
      </c>
      <c r="K65" s="4" t="s">
        <v>39</v>
      </c>
      <c r="L65">
        <v>3373.46</v>
      </c>
      <c r="M65">
        <v>4454.76</v>
      </c>
      <c r="N65" t="s">
        <v>25</v>
      </c>
      <c r="O65" s="30">
        <v>0.22</v>
      </c>
      <c r="P65" t="s">
        <v>40</v>
      </c>
      <c r="Q65" t="s">
        <v>34</v>
      </c>
      <c r="R65" t="s">
        <v>28</v>
      </c>
      <c r="S65">
        <f t="shared" si="1"/>
        <v>76443.681599999996</v>
      </c>
      <c r="T65">
        <f t="shared" si="2"/>
        <v>74216.12</v>
      </c>
      <c r="U65">
        <f t="shared" si="3"/>
        <v>2227.5616000000009</v>
      </c>
      <c r="V65" t="str">
        <f t="shared" si="4"/>
        <v>Senior</v>
      </c>
    </row>
    <row r="66" spans="1:22" x14ac:dyDescent="0.35">
      <c r="A66" t="s">
        <v>167</v>
      </c>
      <c r="B66">
        <v>1008</v>
      </c>
      <c r="C66" s="1">
        <v>44927</v>
      </c>
      <c r="D66" s="1" t="str">
        <f t="shared" si="0"/>
        <v>Jan</v>
      </c>
      <c r="E66" t="s">
        <v>168</v>
      </c>
      <c r="F66">
        <v>39</v>
      </c>
      <c r="G66" t="s">
        <v>100</v>
      </c>
      <c r="H66" t="s">
        <v>54</v>
      </c>
      <c r="I66" t="s">
        <v>44</v>
      </c>
      <c r="J66">
        <v>38</v>
      </c>
      <c r="K66" s="4" t="s">
        <v>45</v>
      </c>
      <c r="L66">
        <v>4635.2299999999996</v>
      </c>
      <c r="M66">
        <v>5075.4399999999996</v>
      </c>
      <c r="N66" t="s">
        <v>25</v>
      </c>
      <c r="O66" s="30">
        <v>0.05</v>
      </c>
      <c r="P66" t="s">
        <v>26</v>
      </c>
      <c r="Q66" t="s">
        <v>27</v>
      </c>
      <c r="R66" t="s">
        <v>35</v>
      </c>
      <c r="S66">
        <f t="shared" si="1"/>
        <v>183223.38399999996</v>
      </c>
      <c r="T66">
        <f t="shared" si="2"/>
        <v>176138.74</v>
      </c>
      <c r="U66">
        <f t="shared" si="3"/>
        <v>7084.6439999999711</v>
      </c>
      <c r="V66" t="str">
        <f t="shared" si="4"/>
        <v>Adult</v>
      </c>
    </row>
    <row r="67" spans="1:22" x14ac:dyDescent="0.35">
      <c r="A67" t="s">
        <v>169</v>
      </c>
      <c r="B67">
        <v>1047</v>
      </c>
      <c r="C67" s="1">
        <v>45016</v>
      </c>
      <c r="D67" s="1" t="str">
        <f t="shared" ref="D67:D130" si="5">TEXT(C67,"mmm")</f>
        <v>Mar</v>
      </c>
      <c r="E67" t="s">
        <v>170</v>
      </c>
      <c r="F67">
        <v>64</v>
      </c>
      <c r="G67" t="s">
        <v>65</v>
      </c>
      <c r="H67" t="s">
        <v>22</v>
      </c>
      <c r="I67" t="s">
        <v>33</v>
      </c>
      <c r="J67">
        <v>37</v>
      </c>
      <c r="K67" s="4" t="s">
        <v>51</v>
      </c>
      <c r="L67">
        <v>3114.88</v>
      </c>
      <c r="M67">
        <v>5256.78</v>
      </c>
      <c r="N67" t="s">
        <v>25</v>
      </c>
      <c r="O67" s="30">
        <v>0.26</v>
      </c>
      <c r="P67" t="s">
        <v>47</v>
      </c>
      <c r="Q67" t="s">
        <v>27</v>
      </c>
      <c r="R67" t="s">
        <v>35</v>
      </c>
      <c r="S67">
        <f t="shared" ref="S67:S130" si="6">J67*M67*(1-O67)</f>
        <v>143930.63639999999</v>
      </c>
      <c r="T67">
        <f t="shared" ref="T67:T130" si="7">L67*J67</f>
        <v>115250.56</v>
      </c>
      <c r="U67">
        <f t="shared" ref="U67:U130" si="8">S67-T67</f>
        <v>28680.076399999991</v>
      </c>
      <c r="V67" t="str">
        <f t="shared" ref="V67:V130" si="9">_xlfn.IFS(
F67&lt;25,"Young",
F67&lt;=40,"Adult",
F67&gt;40,"Senior"
)</f>
        <v>Senior</v>
      </c>
    </row>
    <row r="68" spans="1:22" x14ac:dyDescent="0.35">
      <c r="A68" t="s">
        <v>171</v>
      </c>
      <c r="B68">
        <v>1035</v>
      </c>
      <c r="C68" s="1">
        <v>45068</v>
      </c>
      <c r="D68" s="1" t="str">
        <f t="shared" si="5"/>
        <v>May</v>
      </c>
      <c r="E68" t="s">
        <v>172</v>
      </c>
      <c r="F68">
        <v>47</v>
      </c>
      <c r="G68" t="s">
        <v>21</v>
      </c>
      <c r="H68" t="s">
        <v>54</v>
      </c>
      <c r="I68" t="s">
        <v>33</v>
      </c>
      <c r="J68">
        <v>45</v>
      </c>
      <c r="K68" s="4" t="s">
        <v>39</v>
      </c>
      <c r="L68">
        <v>4132.79</v>
      </c>
      <c r="M68">
        <v>4624.1000000000004</v>
      </c>
      <c r="N68" t="s">
        <v>46</v>
      </c>
      <c r="O68" s="30">
        <v>0.15</v>
      </c>
      <c r="P68" t="s">
        <v>47</v>
      </c>
      <c r="Q68" t="s">
        <v>27</v>
      </c>
      <c r="R68" t="s">
        <v>28</v>
      </c>
      <c r="S68">
        <f t="shared" si="6"/>
        <v>176871.82500000001</v>
      </c>
      <c r="T68">
        <f t="shared" si="7"/>
        <v>185975.55</v>
      </c>
      <c r="U68">
        <f t="shared" si="8"/>
        <v>-9103.7249999999767</v>
      </c>
      <c r="V68" t="str">
        <f t="shared" si="9"/>
        <v>Senior</v>
      </c>
    </row>
    <row r="69" spans="1:22" x14ac:dyDescent="0.35">
      <c r="A69" t="s">
        <v>173</v>
      </c>
      <c r="B69">
        <v>1078</v>
      </c>
      <c r="C69" s="1">
        <v>45246</v>
      </c>
      <c r="D69" s="1" t="str">
        <f t="shared" si="5"/>
        <v>Nov</v>
      </c>
      <c r="E69" t="s">
        <v>174</v>
      </c>
      <c r="F69">
        <v>60</v>
      </c>
      <c r="G69" t="s">
        <v>100</v>
      </c>
      <c r="H69" t="s">
        <v>54</v>
      </c>
      <c r="I69" t="s">
        <v>50</v>
      </c>
      <c r="J69">
        <v>8</v>
      </c>
      <c r="K69" s="4" t="s">
        <v>24</v>
      </c>
      <c r="L69">
        <v>3459.61</v>
      </c>
      <c r="M69">
        <v>3657.23</v>
      </c>
      <c r="N69" t="s">
        <v>25</v>
      </c>
      <c r="O69" s="30">
        <v>0.03</v>
      </c>
      <c r="P69" t="s">
        <v>40</v>
      </c>
      <c r="Q69" t="s">
        <v>34</v>
      </c>
      <c r="R69" t="s">
        <v>41</v>
      </c>
      <c r="S69">
        <f t="shared" si="6"/>
        <v>28380.104800000001</v>
      </c>
      <c r="T69">
        <f t="shared" si="7"/>
        <v>27676.880000000001</v>
      </c>
      <c r="U69">
        <f t="shared" si="8"/>
        <v>703.22479999999996</v>
      </c>
      <c r="V69" t="str">
        <f t="shared" si="9"/>
        <v>Senior</v>
      </c>
    </row>
    <row r="70" spans="1:22" x14ac:dyDescent="0.35">
      <c r="A70" t="s">
        <v>175</v>
      </c>
      <c r="B70">
        <v>1081</v>
      </c>
      <c r="C70" s="1">
        <v>44964</v>
      </c>
      <c r="D70" s="1" t="str">
        <f t="shared" si="5"/>
        <v>Feb</v>
      </c>
      <c r="E70" t="s">
        <v>176</v>
      </c>
      <c r="F70">
        <v>34</v>
      </c>
      <c r="G70" t="s">
        <v>54</v>
      </c>
      <c r="H70" t="s">
        <v>22</v>
      </c>
      <c r="I70" t="s">
        <v>33</v>
      </c>
      <c r="J70">
        <v>41</v>
      </c>
      <c r="K70" s="4" t="s">
        <v>24</v>
      </c>
      <c r="L70">
        <v>2782.08</v>
      </c>
      <c r="M70">
        <v>3879.24</v>
      </c>
      <c r="N70" t="s">
        <v>46</v>
      </c>
      <c r="O70" s="30">
        <v>0.21</v>
      </c>
      <c r="P70" t="s">
        <v>40</v>
      </c>
      <c r="Q70" t="s">
        <v>34</v>
      </c>
      <c r="R70" t="s">
        <v>41</v>
      </c>
      <c r="S70">
        <f t="shared" si="6"/>
        <v>125648.5836</v>
      </c>
      <c r="T70">
        <f t="shared" si="7"/>
        <v>114065.28</v>
      </c>
      <c r="U70">
        <f t="shared" si="8"/>
        <v>11583.303599999999</v>
      </c>
      <c r="V70" t="str">
        <f t="shared" si="9"/>
        <v>Adult</v>
      </c>
    </row>
    <row r="71" spans="1:22" x14ac:dyDescent="0.35">
      <c r="A71" t="s">
        <v>177</v>
      </c>
      <c r="B71">
        <v>1036</v>
      </c>
      <c r="C71" s="1">
        <v>45219</v>
      </c>
      <c r="D71" s="1" t="str">
        <f t="shared" si="5"/>
        <v>Oct</v>
      </c>
      <c r="E71" t="s">
        <v>178</v>
      </c>
      <c r="F71">
        <v>43</v>
      </c>
      <c r="G71" t="s">
        <v>65</v>
      </c>
      <c r="H71" t="s">
        <v>22</v>
      </c>
      <c r="I71" t="s">
        <v>33</v>
      </c>
      <c r="J71">
        <v>49</v>
      </c>
      <c r="K71" s="4" t="s">
        <v>45</v>
      </c>
      <c r="L71">
        <v>1247.0999999999999</v>
      </c>
      <c r="M71">
        <v>1429.44</v>
      </c>
      <c r="N71" t="s">
        <v>46</v>
      </c>
      <c r="O71" s="30">
        <v>0.16</v>
      </c>
      <c r="P71" t="s">
        <v>26</v>
      </c>
      <c r="Q71" t="s">
        <v>27</v>
      </c>
      <c r="R71" t="s">
        <v>35</v>
      </c>
      <c r="S71">
        <f t="shared" si="6"/>
        <v>58835.750399999997</v>
      </c>
      <c r="T71">
        <f t="shared" si="7"/>
        <v>61107.899999999994</v>
      </c>
      <c r="U71">
        <f t="shared" si="8"/>
        <v>-2272.149599999997</v>
      </c>
      <c r="V71" t="str">
        <f t="shared" si="9"/>
        <v>Senior</v>
      </c>
    </row>
    <row r="72" spans="1:22" x14ac:dyDescent="0.35">
      <c r="A72" t="s">
        <v>179</v>
      </c>
      <c r="B72">
        <v>1050</v>
      </c>
      <c r="C72" s="1">
        <v>45065</v>
      </c>
      <c r="D72" s="1" t="str">
        <f t="shared" si="5"/>
        <v>May</v>
      </c>
      <c r="E72" t="s">
        <v>180</v>
      </c>
      <c r="F72">
        <v>53</v>
      </c>
      <c r="G72" t="s">
        <v>54</v>
      </c>
      <c r="H72" t="s">
        <v>81</v>
      </c>
      <c r="I72" t="s">
        <v>50</v>
      </c>
      <c r="J72">
        <v>35</v>
      </c>
      <c r="K72" s="4" t="s">
        <v>45</v>
      </c>
      <c r="L72">
        <v>2158.69</v>
      </c>
      <c r="M72">
        <v>2384.38</v>
      </c>
      <c r="N72" t="s">
        <v>25</v>
      </c>
      <c r="O72" s="30">
        <v>0.09</v>
      </c>
      <c r="P72" t="s">
        <v>40</v>
      </c>
      <c r="Q72" t="s">
        <v>27</v>
      </c>
      <c r="R72" t="s">
        <v>28</v>
      </c>
      <c r="S72">
        <f t="shared" si="6"/>
        <v>75942.503000000012</v>
      </c>
      <c r="T72">
        <f t="shared" si="7"/>
        <v>75554.150000000009</v>
      </c>
      <c r="U72">
        <f t="shared" si="8"/>
        <v>388.35300000000279</v>
      </c>
      <c r="V72" t="str">
        <f t="shared" si="9"/>
        <v>Senior</v>
      </c>
    </row>
    <row r="73" spans="1:22" x14ac:dyDescent="0.35">
      <c r="A73" t="s">
        <v>181</v>
      </c>
      <c r="B73">
        <v>1004</v>
      </c>
      <c r="C73" s="1">
        <v>45282</v>
      </c>
      <c r="D73" s="1" t="str">
        <f t="shared" si="5"/>
        <v>Dec</v>
      </c>
      <c r="E73" t="s">
        <v>182</v>
      </c>
      <c r="F73">
        <v>18</v>
      </c>
      <c r="G73" t="s">
        <v>54</v>
      </c>
      <c r="H73" t="s">
        <v>32</v>
      </c>
      <c r="I73" t="s">
        <v>23</v>
      </c>
      <c r="J73">
        <v>11</v>
      </c>
      <c r="K73" s="4" t="s">
        <v>45</v>
      </c>
      <c r="L73">
        <v>4840.33</v>
      </c>
      <c r="M73">
        <v>5084.29</v>
      </c>
      <c r="N73" t="s">
        <v>46</v>
      </c>
      <c r="O73" s="30">
        <v>0.13</v>
      </c>
      <c r="P73" t="s">
        <v>26</v>
      </c>
      <c r="Q73" t="s">
        <v>34</v>
      </c>
      <c r="R73" t="s">
        <v>41</v>
      </c>
      <c r="S73">
        <f t="shared" si="6"/>
        <v>48656.655299999999</v>
      </c>
      <c r="T73">
        <f t="shared" si="7"/>
        <v>53243.63</v>
      </c>
      <c r="U73">
        <f t="shared" si="8"/>
        <v>-4586.9746999999988</v>
      </c>
      <c r="V73" t="str">
        <f t="shared" si="9"/>
        <v>Young</v>
      </c>
    </row>
    <row r="74" spans="1:22" x14ac:dyDescent="0.35">
      <c r="A74" t="s">
        <v>183</v>
      </c>
      <c r="B74">
        <v>1002</v>
      </c>
      <c r="C74" s="1">
        <v>45259</v>
      </c>
      <c r="D74" s="1" t="str">
        <f t="shared" si="5"/>
        <v>Nov</v>
      </c>
      <c r="E74" t="s">
        <v>184</v>
      </c>
      <c r="F74">
        <v>25</v>
      </c>
      <c r="G74" t="s">
        <v>65</v>
      </c>
      <c r="H74" t="s">
        <v>32</v>
      </c>
      <c r="I74" t="s">
        <v>50</v>
      </c>
      <c r="J74">
        <v>24</v>
      </c>
      <c r="K74" s="4" t="s">
        <v>24</v>
      </c>
      <c r="L74">
        <v>3305.94</v>
      </c>
      <c r="M74">
        <v>3599.27</v>
      </c>
      <c r="N74" t="s">
        <v>46</v>
      </c>
      <c r="O74" s="30">
        <v>0.09</v>
      </c>
      <c r="P74" t="s">
        <v>47</v>
      </c>
      <c r="Q74" t="s">
        <v>34</v>
      </c>
      <c r="R74" t="s">
        <v>41</v>
      </c>
      <c r="S74">
        <f t="shared" si="6"/>
        <v>78608.056800000006</v>
      </c>
      <c r="T74">
        <f t="shared" si="7"/>
        <v>79342.559999999998</v>
      </c>
      <c r="U74">
        <f t="shared" si="8"/>
        <v>-734.50319999999192</v>
      </c>
      <c r="V74" t="str">
        <f t="shared" si="9"/>
        <v>Adult</v>
      </c>
    </row>
    <row r="75" spans="1:22" x14ac:dyDescent="0.35">
      <c r="A75" t="s">
        <v>185</v>
      </c>
      <c r="B75">
        <v>1006</v>
      </c>
      <c r="C75" s="1">
        <v>45185</v>
      </c>
      <c r="D75" s="1" t="str">
        <f t="shared" si="5"/>
        <v>Sep</v>
      </c>
      <c r="E75" t="s">
        <v>186</v>
      </c>
      <c r="F75">
        <v>52</v>
      </c>
      <c r="G75" t="s">
        <v>54</v>
      </c>
      <c r="H75" t="s">
        <v>54</v>
      </c>
      <c r="I75" t="s">
        <v>23</v>
      </c>
      <c r="J75">
        <v>49</v>
      </c>
      <c r="K75" s="4" t="s">
        <v>39</v>
      </c>
      <c r="L75">
        <v>2843.76</v>
      </c>
      <c r="M75">
        <v>3146.6</v>
      </c>
      <c r="N75" t="s">
        <v>46</v>
      </c>
      <c r="O75" s="30">
        <v>0.08</v>
      </c>
      <c r="P75" t="s">
        <v>26</v>
      </c>
      <c r="Q75" t="s">
        <v>27</v>
      </c>
      <c r="R75" t="s">
        <v>35</v>
      </c>
      <c r="S75">
        <f t="shared" si="6"/>
        <v>141848.728</v>
      </c>
      <c r="T75">
        <f t="shared" si="7"/>
        <v>139344.24000000002</v>
      </c>
      <c r="U75">
        <f t="shared" si="8"/>
        <v>2504.487999999983</v>
      </c>
      <c r="V75" t="str">
        <f t="shared" si="9"/>
        <v>Senior</v>
      </c>
    </row>
    <row r="76" spans="1:22" x14ac:dyDescent="0.35">
      <c r="A76" t="s">
        <v>187</v>
      </c>
      <c r="B76">
        <v>1054</v>
      </c>
      <c r="C76" s="1">
        <v>45087</v>
      </c>
      <c r="D76" s="1" t="str">
        <f t="shared" si="5"/>
        <v>Jun</v>
      </c>
      <c r="E76" t="s">
        <v>188</v>
      </c>
      <c r="F76">
        <v>32</v>
      </c>
      <c r="G76" t="s">
        <v>65</v>
      </c>
      <c r="H76" t="s">
        <v>32</v>
      </c>
      <c r="I76" t="s">
        <v>44</v>
      </c>
      <c r="J76">
        <v>21</v>
      </c>
      <c r="K76" s="4" t="s">
        <v>24</v>
      </c>
      <c r="L76">
        <v>4668.1400000000003</v>
      </c>
      <c r="M76">
        <v>5040.22</v>
      </c>
      <c r="N76" t="s">
        <v>46</v>
      </c>
      <c r="O76" s="30">
        <v>0.05</v>
      </c>
      <c r="P76" t="s">
        <v>40</v>
      </c>
      <c r="Q76" t="s">
        <v>34</v>
      </c>
      <c r="R76" t="s">
        <v>41</v>
      </c>
      <c r="S76">
        <f t="shared" si="6"/>
        <v>100552.38900000001</v>
      </c>
      <c r="T76">
        <f t="shared" si="7"/>
        <v>98030.94</v>
      </c>
      <c r="U76">
        <f t="shared" si="8"/>
        <v>2521.4490000000078</v>
      </c>
      <c r="V76" t="str">
        <f t="shared" si="9"/>
        <v>Adult</v>
      </c>
    </row>
    <row r="77" spans="1:22" x14ac:dyDescent="0.35">
      <c r="A77" t="s">
        <v>189</v>
      </c>
      <c r="B77">
        <v>1004</v>
      </c>
      <c r="C77" s="1">
        <v>45104</v>
      </c>
      <c r="D77" s="1" t="str">
        <f t="shared" si="5"/>
        <v>Jun</v>
      </c>
      <c r="E77" t="s">
        <v>145</v>
      </c>
      <c r="F77">
        <v>64</v>
      </c>
      <c r="G77" t="s">
        <v>100</v>
      </c>
      <c r="H77" t="s">
        <v>54</v>
      </c>
      <c r="I77" t="s">
        <v>23</v>
      </c>
      <c r="J77">
        <v>2</v>
      </c>
      <c r="K77" s="4" t="s">
        <v>51</v>
      </c>
      <c r="L77">
        <v>2953.23</v>
      </c>
      <c r="M77">
        <v>2977.52</v>
      </c>
      <c r="N77" t="s">
        <v>25</v>
      </c>
      <c r="O77" s="30">
        <v>0.11</v>
      </c>
      <c r="P77" t="s">
        <v>47</v>
      </c>
      <c r="Q77" t="s">
        <v>27</v>
      </c>
      <c r="R77" t="s">
        <v>28</v>
      </c>
      <c r="S77">
        <f t="shared" si="6"/>
        <v>5299.9856</v>
      </c>
      <c r="T77">
        <f t="shared" si="7"/>
        <v>5906.46</v>
      </c>
      <c r="U77">
        <f t="shared" si="8"/>
        <v>-606.47440000000006</v>
      </c>
      <c r="V77" t="str">
        <f t="shared" si="9"/>
        <v>Senior</v>
      </c>
    </row>
    <row r="78" spans="1:22" x14ac:dyDescent="0.35">
      <c r="A78" t="s">
        <v>190</v>
      </c>
      <c r="B78">
        <v>1054</v>
      </c>
      <c r="C78" s="1">
        <v>44936</v>
      </c>
      <c r="D78" s="1" t="str">
        <f t="shared" si="5"/>
        <v>Jan</v>
      </c>
      <c r="E78" t="s">
        <v>70</v>
      </c>
      <c r="F78">
        <v>39</v>
      </c>
      <c r="G78" t="s">
        <v>65</v>
      </c>
      <c r="H78" t="s">
        <v>81</v>
      </c>
      <c r="I78" t="s">
        <v>23</v>
      </c>
      <c r="J78">
        <v>40</v>
      </c>
      <c r="K78" s="4" t="s">
        <v>24</v>
      </c>
      <c r="L78">
        <v>2654.11</v>
      </c>
      <c r="M78">
        <v>2929.32</v>
      </c>
      <c r="N78" t="s">
        <v>25</v>
      </c>
      <c r="O78" s="30">
        <v>0.08</v>
      </c>
      <c r="P78" t="s">
        <v>26</v>
      </c>
      <c r="Q78" t="s">
        <v>34</v>
      </c>
      <c r="R78" t="s">
        <v>35</v>
      </c>
      <c r="S78">
        <f t="shared" si="6"/>
        <v>107798.97600000001</v>
      </c>
      <c r="T78">
        <f t="shared" si="7"/>
        <v>106164.40000000001</v>
      </c>
      <c r="U78">
        <f t="shared" si="8"/>
        <v>1634.5760000000009</v>
      </c>
      <c r="V78" t="str">
        <f t="shared" si="9"/>
        <v>Adult</v>
      </c>
    </row>
    <row r="79" spans="1:22" x14ac:dyDescent="0.35">
      <c r="A79" t="s">
        <v>191</v>
      </c>
      <c r="B79">
        <v>1093</v>
      </c>
      <c r="C79" s="1">
        <v>45187</v>
      </c>
      <c r="D79" s="1" t="str">
        <f t="shared" si="5"/>
        <v>Sep</v>
      </c>
      <c r="E79" t="s">
        <v>192</v>
      </c>
      <c r="F79">
        <v>31</v>
      </c>
      <c r="G79" t="s">
        <v>65</v>
      </c>
      <c r="H79" t="s">
        <v>22</v>
      </c>
      <c r="I79" t="s">
        <v>44</v>
      </c>
      <c r="J79">
        <v>19</v>
      </c>
      <c r="K79" s="4" t="s">
        <v>51</v>
      </c>
      <c r="L79">
        <v>3808.59</v>
      </c>
      <c r="M79">
        <v>4544.51</v>
      </c>
      <c r="N79" t="s">
        <v>46</v>
      </c>
      <c r="O79" s="30">
        <v>0.21</v>
      </c>
      <c r="P79" t="s">
        <v>47</v>
      </c>
      <c r="Q79" t="s">
        <v>27</v>
      </c>
      <c r="R79" t="s">
        <v>35</v>
      </c>
      <c r="S79">
        <f t="shared" si="6"/>
        <v>68213.095100000006</v>
      </c>
      <c r="T79">
        <f t="shared" si="7"/>
        <v>72363.210000000006</v>
      </c>
      <c r="U79">
        <f t="shared" si="8"/>
        <v>-4150.1149000000005</v>
      </c>
      <c r="V79" t="str">
        <f t="shared" si="9"/>
        <v>Adult</v>
      </c>
    </row>
    <row r="80" spans="1:22" x14ac:dyDescent="0.35">
      <c r="A80" t="s">
        <v>193</v>
      </c>
      <c r="B80">
        <v>1063</v>
      </c>
      <c r="C80" s="1">
        <v>45064</v>
      </c>
      <c r="D80" s="1" t="str">
        <f t="shared" si="5"/>
        <v>May</v>
      </c>
      <c r="E80" t="s">
        <v>194</v>
      </c>
      <c r="F80">
        <v>43</v>
      </c>
      <c r="G80" t="s">
        <v>21</v>
      </c>
      <c r="H80" t="s">
        <v>22</v>
      </c>
      <c r="I80" t="s">
        <v>23</v>
      </c>
      <c r="J80">
        <v>39</v>
      </c>
      <c r="K80" s="4" t="s">
        <v>39</v>
      </c>
      <c r="L80">
        <v>3577.69</v>
      </c>
      <c r="M80">
        <v>3931.25</v>
      </c>
      <c r="N80" t="s">
        <v>25</v>
      </c>
      <c r="O80" s="30">
        <v>0.21</v>
      </c>
      <c r="P80" t="s">
        <v>26</v>
      </c>
      <c r="Q80" t="s">
        <v>27</v>
      </c>
      <c r="R80" t="s">
        <v>28</v>
      </c>
      <c r="S80">
        <f t="shared" si="6"/>
        <v>121121.8125</v>
      </c>
      <c r="T80">
        <f t="shared" si="7"/>
        <v>139529.91</v>
      </c>
      <c r="U80">
        <f t="shared" si="8"/>
        <v>-18408.097500000003</v>
      </c>
      <c r="V80" t="str">
        <f t="shared" si="9"/>
        <v>Senior</v>
      </c>
    </row>
    <row r="81" spans="1:22" x14ac:dyDescent="0.35">
      <c r="A81" t="s">
        <v>195</v>
      </c>
      <c r="B81">
        <v>1018</v>
      </c>
      <c r="C81" s="1">
        <v>45098</v>
      </c>
      <c r="D81" s="1" t="str">
        <f t="shared" si="5"/>
        <v>Jun</v>
      </c>
      <c r="E81" t="s">
        <v>196</v>
      </c>
      <c r="F81">
        <v>45</v>
      </c>
      <c r="G81" t="s">
        <v>65</v>
      </c>
      <c r="H81" t="s">
        <v>22</v>
      </c>
      <c r="I81" t="s">
        <v>50</v>
      </c>
      <c r="J81">
        <v>28</v>
      </c>
      <c r="K81" s="4" t="s">
        <v>45</v>
      </c>
      <c r="L81">
        <v>1006.14</v>
      </c>
      <c r="M81">
        <v>2043.45</v>
      </c>
      <c r="N81" t="s">
        <v>46</v>
      </c>
      <c r="O81" s="30">
        <v>0.15</v>
      </c>
      <c r="P81" t="s">
        <v>40</v>
      </c>
      <c r="Q81" t="s">
        <v>34</v>
      </c>
      <c r="R81" t="s">
        <v>35</v>
      </c>
      <c r="S81">
        <f t="shared" si="6"/>
        <v>48634.11</v>
      </c>
      <c r="T81">
        <f t="shared" si="7"/>
        <v>28171.919999999998</v>
      </c>
      <c r="U81">
        <f t="shared" si="8"/>
        <v>20462.190000000002</v>
      </c>
      <c r="V81" t="str">
        <f t="shared" si="9"/>
        <v>Senior</v>
      </c>
    </row>
    <row r="82" spans="1:22" x14ac:dyDescent="0.35">
      <c r="A82" t="s">
        <v>197</v>
      </c>
      <c r="B82">
        <v>1090</v>
      </c>
      <c r="C82" s="1">
        <v>44939</v>
      </c>
      <c r="D82" s="1" t="str">
        <f t="shared" si="5"/>
        <v>Jan</v>
      </c>
      <c r="E82" t="s">
        <v>198</v>
      </c>
      <c r="F82">
        <v>40</v>
      </c>
      <c r="G82" t="s">
        <v>65</v>
      </c>
      <c r="H82" t="s">
        <v>32</v>
      </c>
      <c r="I82" t="s">
        <v>23</v>
      </c>
      <c r="J82">
        <v>17</v>
      </c>
      <c r="K82" s="4" t="s">
        <v>45</v>
      </c>
      <c r="L82">
        <v>2382.98</v>
      </c>
      <c r="M82">
        <v>2839.73</v>
      </c>
      <c r="N82" t="s">
        <v>25</v>
      </c>
      <c r="O82" s="30">
        <v>0.23</v>
      </c>
      <c r="P82" t="s">
        <v>40</v>
      </c>
      <c r="Q82" t="s">
        <v>27</v>
      </c>
      <c r="R82" t="s">
        <v>41</v>
      </c>
      <c r="S82">
        <f t="shared" si="6"/>
        <v>37172.065700000006</v>
      </c>
      <c r="T82">
        <f t="shared" si="7"/>
        <v>40510.660000000003</v>
      </c>
      <c r="U82">
        <f t="shared" si="8"/>
        <v>-3338.594299999997</v>
      </c>
      <c r="V82" t="str">
        <f t="shared" si="9"/>
        <v>Adult</v>
      </c>
    </row>
    <row r="83" spans="1:22" x14ac:dyDescent="0.35">
      <c r="A83" t="s">
        <v>199</v>
      </c>
      <c r="B83">
        <v>1044</v>
      </c>
      <c r="C83" s="1">
        <v>45094</v>
      </c>
      <c r="D83" s="1" t="str">
        <f t="shared" si="5"/>
        <v>Jun</v>
      </c>
      <c r="E83" t="s">
        <v>200</v>
      </c>
      <c r="F83">
        <v>31</v>
      </c>
      <c r="G83" t="s">
        <v>100</v>
      </c>
      <c r="H83" t="s">
        <v>81</v>
      </c>
      <c r="I83" t="s">
        <v>44</v>
      </c>
      <c r="J83">
        <v>6</v>
      </c>
      <c r="K83" s="4" t="s">
        <v>24</v>
      </c>
      <c r="L83">
        <v>2388.9499999999998</v>
      </c>
      <c r="M83">
        <v>2742.97</v>
      </c>
      <c r="N83" t="s">
        <v>25</v>
      </c>
      <c r="O83" s="30">
        <v>0.25</v>
      </c>
      <c r="P83" t="s">
        <v>47</v>
      </c>
      <c r="Q83" t="s">
        <v>27</v>
      </c>
      <c r="R83" t="s">
        <v>41</v>
      </c>
      <c r="S83">
        <f t="shared" si="6"/>
        <v>12343.365</v>
      </c>
      <c r="T83">
        <f t="shared" si="7"/>
        <v>14333.699999999999</v>
      </c>
      <c r="U83">
        <f t="shared" si="8"/>
        <v>-1990.3349999999991</v>
      </c>
      <c r="V83" t="str">
        <f t="shared" si="9"/>
        <v>Adult</v>
      </c>
    </row>
    <row r="84" spans="1:22" x14ac:dyDescent="0.35">
      <c r="A84" t="s">
        <v>201</v>
      </c>
      <c r="B84">
        <v>1034</v>
      </c>
      <c r="C84" s="1">
        <v>45056</v>
      </c>
      <c r="D84" s="1" t="str">
        <f t="shared" si="5"/>
        <v>May</v>
      </c>
      <c r="E84" t="s">
        <v>164</v>
      </c>
      <c r="F84">
        <v>41</v>
      </c>
      <c r="G84" t="s">
        <v>21</v>
      </c>
      <c r="H84" t="s">
        <v>32</v>
      </c>
      <c r="I84" t="s">
        <v>50</v>
      </c>
      <c r="J84">
        <v>19</v>
      </c>
      <c r="K84" s="4" t="s">
        <v>45</v>
      </c>
      <c r="L84">
        <v>1922.21</v>
      </c>
      <c r="M84">
        <v>2180.83</v>
      </c>
      <c r="N84" t="s">
        <v>25</v>
      </c>
      <c r="O84" s="30">
        <v>0.17</v>
      </c>
      <c r="P84" t="s">
        <v>47</v>
      </c>
      <c r="Q84" t="s">
        <v>27</v>
      </c>
      <c r="R84" t="s">
        <v>28</v>
      </c>
      <c r="S84">
        <f t="shared" si="6"/>
        <v>34391.689099999996</v>
      </c>
      <c r="T84">
        <f t="shared" si="7"/>
        <v>36521.99</v>
      </c>
      <c r="U84">
        <f t="shared" si="8"/>
        <v>-2130.300900000002</v>
      </c>
      <c r="V84" t="str">
        <f t="shared" si="9"/>
        <v>Senior</v>
      </c>
    </row>
    <row r="85" spans="1:22" x14ac:dyDescent="0.35">
      <c r="A85" t="s">
        <v>202</v>
      </c>
      <c r="B85">
        <v>1074</v>
      </c>
      <c r="C85" s="1">
        <v>45010</v>
      </c>
      <c r="D85" s="1" t="str">
        <f t="shared" si="5"/>
        <v>Mar</v>
      </c>
      <c r="E85" t="s">
        <v>203</v>
      </c>
      <c r="F85">
        <v>19</v>
      </c>
      <c r="G85" t="s">
        <v>31</v>
      </c>
      <c r="H85" t="s">
        <v>32</v>
      </c>
      <c r="I85" t="s">
        <v>44</v>
      </c>
      <c r="J85">
        <v>38</v>
      </c>
      <c r="K85" s="4" t="s">
        <v>39</v>
      </c>
      <c r="L85">
        <v>2610.6</v>
      </c>
      <c r="M85">
        <v>3836.94</v>
      </c>
      <c r="N85" t="s">
        <v>25</v>
      </c>
      <c r="O85" s="30">
        <v>0.19</v>
      </c>
      <c r="P85" t="s">
        <v>47</v>
      </c>
      <c r="Q85" t="s">
        <v>34</v>
      </c>
      <c r="R85" t="s">
        <v>41</v>
      </c>
      <c r="S85">
        <f t="shared" si="6"/>
        <v>118101.01320000002</v>
      </c>
      <c r="T85">
        <f t="shared" si="7"/>
        <v>99202.8</v>
      </c>
      <c r="U85">
        <f t="shared" si="8"/>
        <v>18898.213200000013</v>
      </c>
      <c r="V85" t="str">
        <f t="shared" si="9"/>
        <v>Young</v>
      </c>
    </row>
    <row r="86" spans="1:22" x14ac:dyDescent="0.35">
      <c r="A86" t="s">
        <v>204</v>
      </c>
      <c r="B86">
        <v>1062</v>
      </c>
      <c r="C86" s="1">
        <v>45247</v>
      </c>
      <c r="D86" s="1" t="str">
        <f t="shared" si="5"/>
        <v>Nov</v>
      </c>
      <c r="E86" t="s">
        <v>205</v>
      </c>
      <c r="F86">
        <v>62</v>
      </c>
      <c r="G86" t="s">
        <v>100</v>
      </c>
      <c r="H86" t="s">
        <v>81</v>
      </c>
      <c r="I86" t="s">
        <v>44</v>
      </c>
      <c r="J86">
        <v>28</v>
      </c>
      <c r="K86" s="4" t="s">
        <v>45</v>
      </c>
      <c r="L86">
        <v>2094.88</v>
      </c>
      <c r="M86">
        <v>2168.91</v>
      </c>
      <c r="N86" t="s">
        <v>25</v>
      </c>
      <c r="O86" s="30">
        <v>0.08</v>
      </c>
      <c r="P86" t="s">
        <v>26</v>
      </c>
      <c r="Q86" t="s">
        <v>34</v>
      </c>
      <c r="R86" t="s">
        <v>28</v>
      </c>
      <c r="S86">
        <f t="shared" si="6"/>
        <v>55871.121599999999</v>
      </c>
      <c r="T86">
        <f t="shared" si="7"/>
        <v>58656.639999999999</v>
      </c>
      <c r="U86">
        <f t="shared" si="8"/>
        <v>-2785.5184000000008</v>
      </c>
      <c r="V86" t="str">
        <f t="shared" si="9"/>
        <v>Senior</v>
      </c>
    </row>
    <row r="87" spans="1:22" x14ac:dyDescent="0.35">
      <c r="A87" t="s">
        <v>206</v>
      </c>
      <c r="B87">
        <v>1100</v>
      </c>
      <c r="C87" s="1">
        <v>45245</v>
      </c>
      <c r="D87" s="1" t="str">
        <f t="shared" si="5"/>
        <v>Nov</v>
      </c>
      <c r="E87" t="s">
        <v>80</v>
      </c>
      <c r="F87">
        <v>43</v>
      </c>
      <c r="G87" t="s">
        <v>100</v>
      </c>
      <c r="H87" t="s">
        <v>81</v>
      </c>
      <c r="I87" t="s">
        <v>33</v>
      </c>
      <c r="J87">
        <v>2</v>
      </c>
      <c r="K87" s="4" t="s">
        <v>24</v>
      </c>
      <c r="L87">
        <v>1036.76</v>
      </c>
      <c r="M87">
        <v>1189.3499999999999</v>
      </c>
      <c r="N87" t="s">
        <v>46</v>
      </c>
      <c r="O87" s="30">
        <v>0.27</v>
      </c>
      <c r="P87" t="s">
        <v>40</v>
      </c>
      <c r="Q87" t="s">
        <v>34</v>
      </c>
      <c r="R87" t="s">
        <v>28</v>
      </c>
      <c r="S87">
        <f t="shared" si="6"/>
        <v>1736.4509999999998</v>
      </c>
      <c r="T87">
        <f t="shared" si="7"/>
        <v>2073.52</v>
      </c>
      <c r="U87">
        <f t="shared" si="8"/>
        <v>-337.06900000000019</v>
      </c>
      <c r="V87" t="str">
        <f t="shared" si="9"/>
        <v>Senior</v>
      </c>
    </row>
    <row r="88" spans="1:22" x14ac:dyDescent="0.35">
      <c r="A88" t="s">
        <v>207</v>
      </c>
      <c r="B88">
        <v>1014</v>
      </c>
      <c r="C88" s="1">
        <v>45027</v>
      </c>
      <c r="D88" s="1" t="str">
        <f t="shared" si="5"/>
        <v>Apr</v>
      </c>
      <c r="E88" t="s">
        <v>158</v>
      </c>
      <c r="F88">
        <v>31</v>
      </c>
      <c r="G88" t="s">
        <v>31</v>
      </c>
      <c r="H88" t="s">
        <v>81</v>
      </c>
      <c r="I88" t="s">
        <v>33</v>
      </c>
      <c r="J88">
        <v>38</v>
      </c>
      <c r="K88" s="4" t="s">
        <v>39</v>
      </c>
      <c r="L88">
        <v>2091.21</v>
      </c>
      <c r="M88">
        <v>2527</v>
      </c>
      <c r="N88" t="s">
        <v>25</v>
      </c>
      <c r="O88" s="30">
        <v>0.01</v>
      </c>
      <c r="P88" t="s">
        <v>47</v>
      </c>
      <c r="Q88" t="s">
        <v>27</v>
      </c>
      <c r="R88" t="s">
        <v>41</v>
      </c>
      <c r="S88">
        <f t="shared" si="6"/>
        <v>95065.74</v>
      </c>
      <c r="T88">
        <f t="shared" si="7"/>
        <v>79465.98</v>
      </c>
      <c r="U88">
        <f t="shared" si="8"/>
        <v>15599.760000000009</v>
      </c>
      <c r="V88" t="str">
        <f t="shared" si="9"/>
        <v>Adult</v>
      </c>
    </row>
    <row r="89" spans="1:22" x14ac:dyDescent="0.35">
      <c r="A89" t="s">
        <v>208</v>
      </c>
      <c r="B89">
        <v>1095</v>
      </c>
      <c r="C89" s="1">
        <v>45255</v>
      </c>
      <c r="D89" s="1" t="str">
        <f t="shared" si="5"/>
        <v>Nov</v>
      </c>
      <c r="E89" t="s">
        <v>209</v>
      </c>
      <c r="F89">
        <v>24</v>
      </c>
      <c r="G89" t="s">
        <v>65</v>
      </c>
      <c r="H89" t="s">
        <v>81</v>
      </c>
      <c r="I89" t="s">
        <v>44</v>
      </c>
      <c r="J89">
        <v>37</v>
      </c>
      <c r="K89" s="4" t="s">
        <v>51</v>
      </c>
      <c r="L89">
        <v>407.77</v>
      </c>
      <c r="M89">
        <v>860.95</v>
      </c>
      <c r="N89" t="s">
        <v>46</v>
      </c>
      <c r="O89" s="30">
        <v>0.1</v>
      </c>
      <c r="P89" t="s">
        <v>47</v>
      </c>
      <c r="Q89" t="s">
        <v>34</v>
      </c>
      <c r="R89" t="s">
        <v>28</v>
      </c>
      <c r="S89">
        <f t="shared" si="6"/>
        <v>28669.635000000002</v>
      </c>
      <c r="T89">
        <f t="shared" si="7"/>
        <v>15087.49</v>
      </c>
      <c r="U89">
        <f t="shared" si="8"/>
        <v>13582.145000000002</v>
      </c>
      <c r="V89" t="str">
        <f t="shared" si="9"/>
        <v>Young</v>
      </c>
    </row>
    <row r="90" spans="1:22" x14ac:dyDescent="0.35">
      <c r="A90" t="s">
        <v>210</v>
      </c>
      <c r="B90">
        <v>1048</v>
      </c>
      <c r="C90" s="1">
        <v>45199</v>
      </c>
      <c r="D90" s="1" t="str">
        <f t="shared" si="5"/>
        <v>Sep</v>
      </c>
      <c r="E90" t="s">
        <v>58</v>
      </c>
      <c r="F90">
        <v>20</v>
      </c>
      <c r="G90" t="s">
        <v>54</v>
      </c>
      <c r="H90" t="s">
        <v>22</v>
      </c>
      <c r="I90" t="s">
        <v>44</v>
      </c>
      <c r="J90">
        <v>4</v>
      </c>
      <c r="K90" s="4" t="s">
        <v>24</v>
      </c>
      <c r="L90">
        <v>2900.14</v>
      </c>
      <c r="M90">
        <v>2910.51</v>
      </c>
      <c r="N90" t="s">
        <v>46</v>
      </c>
      <c r="O90" s="30">
        <v>0.22</v>
      </c>
      <c r="P90" t="s">
        <v>47</v>
      </c>
      <c r="Q90" t="s">
        <v>27</v>
      </c>
      <c r="R90" t="s">
        <v>41</v>
      </c>
      <c r="S90">
        <f t="shared" si="6"/>
        <v>9080.7912000000015</v>
      </c>
      <c r="T90">
        <f t="shared" si="7"/>
        <v>11600.56</v>
      </c>
      <c r="U90">
        <f t="shared" si="8"/>
        <v>-2519.768799999998</v>
      </c>
      <c r="V90" t="str">
        <f t="shared" si="9"/>
        <v>Young</v>
      </c>
    </row>
    <row r="91" spans="1:22" x14ac:dyDescent="0.35">
      <c r="A91" t="s">
        <v>211</v>
      </c>
      <c r="B91">
        <v>1015</v>
      </c>
      <c r="C91" s="1">
        <v>45191</v>
      </c>
      <c r="D91" s="1" t="str">
        <f t="shared" si="5"/>
        <v>Sep</v>
      </c>
      <c r="E91" t="s">
        <v>150</v>
      </c>
      <c r="F91">
        <v>64</v>
      </c>
      <c r="G91" t="s">
        <v>21</v>
      </c>
      <c r="H91" t="s">
        <v>38</v>
      </c>
      <c r="I91" t="s">
        <v>44</v>
      </c>
      <c r="J91">
        <v>22</v>
      </c>
      <c r="K91" s="4" t="s">
        <v>51</v>
      </c>
      <c r="L91">
        <v>4275.59</v>
      </c>
      <c r="M91">
        <v>4576.72</v>
      </c>
      <c r="N91" t="s">
        <v>25</v>
      </c>
      <c r="O91" s="30">
        <v>0.02</v>
      </c>
      <c r="P91" t="s">
        <v>26</v>
      </c>
      <c r="Q91" t="s">
        <v>27</v>
      </c>
      <c r="R91" t="s">
        <v>35</v>
      </c>
      <c r="S91">
        <f t="shared" si="6"/>
        <v>98674.083200000008</v>
      </c>
      <c r="T91">
        <f t="shared" si="7"/>
        <v>94062.98000000001</v>
      </c>
      <c r="U91">
        <f t="shared" si="8"/>
        <v>4611.1031999999977</v>
      </c>
      <c r="V91" t="str">
        <f t="shared" si="9"/>
        <v>Senior</v>
      </c>
    </row>
    <row r="92" spans="1:22" x14ac:dyDescent="0.35">
      <c r="A92" t="s">
        <v>212</v>
      </c>
      <c r="B92">
        <v>1072</v>
      </c>
      <c r="C92" s="1">
        <v>44964</v>
      </c>
      <c r="D92" s="1" t="str">
        <f t="shared" si="5"/>
        <v>Feb</v>
      </c>
      <c r="E92" t="s">
        <v>112</v>
      </c>
      <c r="F92">
        <v>40</v>
      </c>
      <c r="G92" t="s">
        <v>54</v>
      </c>
      <c r="H92" t="s">
        <v>38</v>
      </c>
      <c r="I92" t="s">
        <v>33</v>
      </c>
      <c r="J92">
        <v>26</v>
      </c>
      <c r="K92" s="4" t="s">
        <v>39</v>
      </c>
      <c r="L92">
        <v>3640.17</v>
      </c>
      <c r="M92">
        <v>4002.63</v>
      </c>
      <c r="N92" t="s">
        <v>46</v>
      </c>
      <c r="O92" s="30">
        <v>0.05</v>
      </c>
      <c r="P92" t="s">
        <v>47</v>
      </c>
      <c r="Q92" t="s">
        <v>34</v>
      </c>
      <c r="R92" t="s">
        <v>35</v>
      </c>
      <c r="S92">
        <f t="shared" si="6"/>
        <v>98864.960999999996</v>
      </c>
      <c r="T92">
        <f t="shared" si="7"/>
        <v>94644.42</v>
      </c>
      <c r="U92">
        <f t="shared" si="8"/>
        <v>4220.5409999999974</v>
      </c>
      <c r="V92" t="str">
        <f t="shared" si="9"/>
        <v>Adult</v>
      </c>
    </row>
    <row r="93" spans="1:22" x14ac:dyDescent="0.35">
      <c r="A93" t="s">
        <v>213</v>
      </c>
      <c r="B93">
        <v>1078</v>
      </c>
      <c r="C93" s="1">
        <v>45020</v>
      </c>
      <c r="D93" s="1" t="str">
        <f t="shared" si="5"/>
        <v>Apr</v>
      </c>
      <c r="E93" t="s">
        <v>214</v>
      </c>
      <c r="F93">
        <v>63</v>
      </c>
      <c r="G93" t="s">
        <v>31</v>
      </c>
      <c r="H93" t="s">
        <v>81</v>
      </c>
      <c r="I93" t="s">
        <v>33</v>
      </c>
      <c r="J93">
        <v>49</v>
      </c>
      <c r="K93" s="4" t="s">
        <v>24</v>
      </c>
      <c r="L93">
        <v>1833.95</v>
      </c>
      <c r="M93">
        <v>2147.14</v>
      </c>
      <c r="N93" t="s">
        <v>25</v>
      </c>
      <c r="O93" s="30">
        <v>0.18</v>
      </c>
      <c r="P93" t="s">
        <v>47</v>
      </c>
      <c r="Q93" t="s">
        <v>34</v>
      </c>
      <c r="R93" t="s">
        <v>28</v>
      </c>
      <c r="S93">
        <f t="shared" si="6"/>
        <v>86272.085200000001</v>
      </c>
      <c r="T93">
        <f t="shared" si="7"/>
        <v>89863.55</v>
      </c>
      <c r="U93">
        <f t="shared" si="8"/>
        <v>-3591.4648000000016</v>
      </c>
      <c r="V93" t="str">
        <f t="shared" si="9"/>
        <v>Senior</v>
      </c>
    </row>
    <row r="94" spans="1:22" x14ac:dyDescent="0.35">
      <c r="A94" t="s">
        <v>215</v>
      </c>
      <c r="B94">
        <v>1087</v>
      </c>
      <c r="C94" s="1">
        <v>45021</v>
      </c>
      <c r="D94" s="1" t="str">
        <f t="shared" si="5"/>
        <v>Apr</v>
      </c>
      <c r="E94" t="s">
        <v>216</v>
      </c>
      <c r="F94">
        <v>60</v>
      </c>
      <c r="G94" t="s">
        <v>100</v>
      </c>
      <c r="H94" t="s">
        <v>38</v>
      </c>
      <c r="I94" t="s">
        <v>23</v>
      </c>
      <c r="J94">
        <v>43</v>
      </c>
      <c r="K94" s="4" t="s">
        <v>24</v>
      </c>
      <c r="L94">
        <v>481</v>
      </c>
      <c r="M94">
        <v>531.02</v>
      </c>
      <c r="N94" t="s">
        <v>46</v>
      </c>
      <c r="O94" s="30">
        <v>0.17</v>
      </c>
      <c r="P94" t="s">
        <v>26</v>
      </c>
      <c r="Q94" t="s">
        <v>27</v>
      </c>
      <c r="R94" t="s">
        <v>41</v>
      </c>
      <c r="S94">
        <f t="shared" si="6"/>
        <v>18952.103800000001</v>
      </c>
      <c r="T94">
        <f t="shared" si="7"/>
        <v>20683</v>
      </c>
      <c r="U94">
        <f t="shared" si="8"/>
        <v>-1730.8961999999992</v>
      </c>
      <c r="V94" t="str">
        <f t="shared" si="9"/>
        <v>Senior</v>
      </c>
    </row>
    <row r="95" spans="1:22" x14ac:dyDescent="0.35">
      <c r="A95" t="s">
        <v>217</v>
      </c>
      <c r="B95">
        <v>1062</v>
      </c>
      <c r="C95" s="1">
        <v>45231</v>
      </c>
      <c r="D95" s="1" t="str">
        <f t="shared" si="5"/>
        <v>Nov</v>
      </c>
      <c r="E95" t="s">
        <v>131</v>
      </c>
      <c r="F95">
        <v>64</v>
      </c>
      <c r="G95" t="s">
        <v>100</v>
      </c>
      <c r="H95" t="s">
        <v>38</v>
      </c>
      <c r="I95" t="s">
        <v>23</v>
      </c>
      <c r="J95">
        <v>36</v>
      </c>
      <c r="K95" s="4" t="s">
        <v>39</v>
      </c>
      <c r="L95">
        <v>1050.6400000000001</v>
      </c>
      <c r="M95">
        <v>1167.33</v>
      </c>
      <c r="N95" t="s">
        <v>46</v>
      </c>
      <c r="O95" s="30">
        <v>0.22</v>
      </c>
      <c r="P95" t="s">
        <v>26</v>
      </c>
      <c r="Q95" t="s">
        <v>27</v>
      </c>
      <c r="R95" t="s">
        <v>41</v>
      </c>
      <c r="S95">
        <f t="shared" si="6"/>
        <v>32778.626400000001</v>
      </c>
      <c r="T95">
        <f t="shared" si="7"/>
        <v>37823.040000000001</v>
      </c>
      <c r="U95">
        <f t="shared" si="8"/>
        <v>-5044.4135999999999</v>
      </c>
      <c r="V95" t="str">
        <f t="shared" si="9"/>
        <v>Senior</v>
      </c>
    </row>
    <row r="96" spans="1:22" x14ac:dyDescent="0.35">
      <c r="A96" t="s">
        <v>218</v>
      </c>
      <c r="B96">
        <v>1040</v>
      </c>
      <c r="C96" s="1">
        <v>44995</v>
      </c>
      <c r="D96" s="1" t="str">
        <f t="shared" si="5"/>
        <v>Mar</v>
      </c>
      <c r="E96" t="s">
        <v>162</v>
      </c>
      <c r="F96">
        <v>62</v>
      </c>
      <c r="G96" t="s">
        <v>21</v>
      </c>
      <c r="H96" t="s">
        <v>81</v>
      </c>
      <c r="I96" t="s">
        <v>44</v>
      </c>
      <c r="J96">
        <v>13</v>
      </c>
      <c r="K96" s="4" t="s">
        <v>45</v>
      </c>
      <c r="L96">
        <v>2750.18</v>
      </c>
      <c r="M96">
        <v>2882.85</v>
      </c>
      <c r="N96" t="s">
        <v>25</v>
      </c>
      <c r="O96" s="30">
        <v>0.24</v>
      </c>
      <c r="P96" t="s">
        <v>47</v>
      </c>
      <c r="Q96" t="s">
        <v>34</v>
      </c>
      <c r="R96" t="s">
        <v>35</v>
      </c>
      <c r="S96">
        <f t="shared" si="6"/>
        <v>28482.557999999997</v>
      </c>
      <c r="T96">
        <f t="shared" si="7"/>
        <v>35752.339999999997</v>
      </c>
      <c r="U96">
        <f t="shared" si="8"/>
        <v>-7269.7819999999992</v>
      </c>
      <c r="V96" t="str">
        <f t="shared" si="9"/>
        <v>Senior</v>
      </c>
    </row>
    <row r="97" spans="1:22" x14ac:dyDescent="0.35">
      <c r="A97" t="s">
        <v>219</v>
      </c>
      <c r="B97">
        <v>1085</v>
      </c>
      <c r="C97" s="1">
        <v>45244</v>
      </c>
      <c r="D97" s="1" t="str">
        <f t="shared" si="5"/>
        <v>Nov</v>
      </c>
      <c r="E97" t="s">
        <v>220</v>
      </c>
      <c r="F97">
        <v>35</v>
      </c>
      <c r="G97" t="s">
        <v>100</v>
      </c>
      <c r="H97" t="s">
        <v>38</v>
      </c>
      <c r="I97" t="s">
        <v>50</v>
      </c>
      <c r="J97">
        <v>32</v>
      </c>
      <c r="K97" s="4" t="s">
        <v>24</v>
      </c>
      <c r="L97">
        <v>1074.93</v>
      </c>
      <c r="M97">
        <v>1492.48</v>
      </c>
      <c r="N97" t="s">
        <v>25</v>
      </c>
      <c r="O97" s="30">
        <v>0.04</v>
      </c>
      <c r="P97" t="s">
        <v>47</v>
      </c>
      <c r="Q97" t="s">
        <v>34</v>
      </c>
      <c r="R97" t="s">
        <v>35</v>
      </c>
      <c r="S97">
        <f t="shared" si="6"/>
        <v>45848.9856</v>
      </c>
      <c r="T97">
        <f t="shared" si="7"/>
        <v>34397.760000000002</v>
      </c>
      <c r="U97">
        <f t="shared" si="8"/>
        <v>11451.225599999998</v>
      </c>
      <c r="V97" t="str">
        <f t="shared" si="9"/>
        <v>Adult</v>
      </c>
    </row>
    <row r="98" spans="1:22" x14ac:dyDescent="0.35">
      <c r="A98" t="s">
        <v>221</v>
      </c>
      <c r="B98">
        <v>1080</v>
      </c>
      <c r="C98" s="1">
        <v>45162</v>
      </c>
      <c r="D98" s="1" t="str">
        <f t="shared" si="5"/>
        <v>Aug</v>
      </c>
      <c r="E98" t="s">
        <v>222</v>
      </c>
      <c r="F98">
        <v>55</v>
      </c>
      <c r="G98" t="s">
        <v>100</v>
      </c>
      <c r="H98" t="s">
        <v>32</v>
      </c>
      <c r="I98" t="s">
        <v>50</v>
      </c>
      <c r="J98">
        <v>17</v>
      </c>
      <c r="K98" s="4" t="s">
        <v>24</v>
      </c>
      <c r="L98">
        <v>2742.67</v>
      </c>
      <c r="M98">
        <v>2979.64</v>
      </c>
      <c r="N98" t="s">
        <v>25</v>
      </c>
      <c r="O98" s="30">
        <v>0.01</v>
      </c>
      <c r="P98" t="s">
        <v>26</v>
      </c>
      <c r="Q98" t="s">
        <v>34</v>
      </c>
      <c r="R98" t="s">
        <v>41</v>
      </c>
      <c r="S98">
        <f t="shared" si="6"/>
        <v>50147.341199999995</v>
      </c>
      <c r="T98">
        <f t="shared" si="7"/>
        <v>46625.39</v>
      </c>
      <c r="U98">
        <f t="shared" si="8"/>
        <v>3521.9511999999959</v>
      </c>
      <c r="V98" t="str">
        <f t="shared" si="9"/>
        <v>Senior</v>
      </c>
    </row>
    <row r="99" spans="1:22" x14ac:dyDescent="0.35">
      <c r="A99" t="s">
        <v>223</v>
      </c>
      <c r="B99">
        <v>1082</v>
      </c>
      <c r="C99" s="1">
        <v>45260</v>
      </c>
      <c r="D99" s="1" t="str">
        <f t="shared" si="5"/>
        <v>Nov</v>
      </c>
      <c r="E99" t="s">
        <v>224</v>
      </c>
      <c r="F99">
        <v>52</v>
      </c>
      <c r="G99" t="s">
        <v>21</v>
      </c>
      <c r="H99" t="s">
        <v>54</v>
      </c>
      <c r="I99" t="s">
        <v>33</v>
      </c>
      <c r="J99">
        <v>41</v>
      </c>
      <c r="K99" s="4" t="s">
        <v>51</v>
      </c>
      <c r="L99">
        <v>1196.42</v>
      </c>
      <c r="M99">
        <v>1444.97</v>
      </c>
      <c r="N99" t="s">
        <v>25</v>
      </c>
      <c r="O99" s="30">
        <v>0.21</v>
      </c>
      <c r="P99" t="s">
        <v>40</v>
      </c>
      <c r="Q99" t="s">
        <v>27</v>
      </c>
      <c r="R99" t="s">
        <v>28</v>
      </c>
      <c r="S99">
        <f t="shared" si="6"/>
        <v>46802.578300000008</v>
      </c>
      <c r="T99">
        <f t="shared" si="7"/>
        <v>49053.22</v>
      </c>
      <c r="U99">
        <f t="shared" si="8"/>
        <v>-2250.6416999999929</v>
      </c>
      <c r="V99" t="str">
        <f t="shared" si="9"/>
        <v>Senior</v>
      </c>
    </row>
    <row r="100" spans="1:22" x14ac:dyDescent="0.35">
      <c r="A100" t="s">
        <v>225</v>
      </c>
      <c r="B100">
        <v>1053</v>
      </c>
      <c r="C100" s="1">
        <v>45063</v>
      </c>
      <c r="D100" s="1" t="str">
        <f t="shared" si="5"/>
        <v>May</v>
      </c>
      <c r="E100" t="s">
        <v>168</v>
      </c>
      <c r="F100">
        <v>32</v>
      </c>
      <c r="G100" t="s">
        <v>21</v>
      </c>
      <c r="H100" t="s">
        <v>54</v>
      </c>
      <c r="I100" t="s">
        <v>33</v>
      </c>
      <c r="J100">
        <v>36</v>
      </c>
      <c r="K100" s="4" t="s">
        <v>45</v>
      </c>
      <c r="L100">
        <v>4252.17</v>
      </c>
      <c r="M100">
        <v>4720.2700000000004</v>
      </c>
      <c r="N100" t="s">
        <v>46</v>
      </c>
      <c r="O100" s="30">
        <v>0.09</v>
      </c>
      <c r="P100" t="s">
        <v>26</v>
      </c>
      <c r="Q100" t="s">
        <v>27</v>
      </c>
      <c r="R100" t="s">
        <v>35</v>
      </c>
      <c r="S100">
        <f t="shared" si="6"/>
        <v>154636.04520000002</v>
      </c>
      <c r="T100">
        <f t="shared" si="7"/>
        <v>153078.12</v>
      </c>
      <c r="U100">
        <f t="shared" si="8"/>
        <v>1557.925200000027</v>
      </c>
      <c r="V100" t="str">
        <f t="shared" si="9"/>
        <v>Adult</v>
      </c>
    </row>
    <row r="101" spans="1:22" x14ac:dyDescent="0.35">
      <c r="A101" t="s">
        <v>226</v>
      </c>
      <c r="B101">
        <v>1024</v>
      </c>
      <c r="C101" s="1">
        <v>45002</v>
      </c>
      <c r="D101" s="1" t="str">
        <f t="shared" si="5"/>
        <v>Mar</v>
      </c>
      <c r="E101" t="s">
        <v>127</v>
      </c>
      <c r="F101">
        <v>42</v>
      </c>
      <c r="G101" t="s">
        <v>31</v>
      </c>
      <c r="H101" t="s">
        <v>81</v>
      </c>
      <c r="I101" t="s">
        <v>33</v>
      </c>
      <c r="J101">
        <v>46</v>
      </c>
      <c r="K101" s="4" t="s">
        <v>51</v>
      </c>
      <c r="L101">
        <v>2016.49</v>
      </c>
      <c r="M101">
        <v>2338.66</v>
      </c>
      <c r="N101" t="s">
        <v>25</v>
      </c>
      <c r="O101" s="30">
        <v>0.19</v>
      </c>
      <c r="P101" t="s">
        <v>40</v>
      </c>
      <c r="Q101" t="s">
        <v>27</v>
      </c>
      <c r="R101" t="s">
        <v>28</v>
      </c>
      <c r="S101">
        <f t="shared" si="6"/>
        <v>87138.47159999999</v>
      </c>
      <c r="T101">
        <f t="shared" si="7"/>
        <v>92758.54</v>
      </c>
      <c r="U101">
        <f t="shared" si="8"/>
        <v>-5620.0684000000037</v>
      </c>
      <c r="V101" t="str">
        <f t="shared" si="9"/>
        <v>Senior</v>
      </c>
    </row>
    <row r="102" spans="1:22" x14ac:dyDescent="0.35">
      <c r="A102" t="s">
        <v>227</v>
      </c>
      <c r="B102">
        <v>1026</v>
      </c>
      <c r="C102" s="1">
        <v>44961</v>
      </c>
      <c r="D102" s="1" t="str">
        <f t="shared" si="5"/>
        <v>Feb</v>
      </c>
      <c r="E102" t="s">
        <v>228</v>
      </c>
      <c r="F102">
        <v>54</v>
      </c>
      <c r="G102" t="s">
        <v>100</v>
      </c>
      <c r="H102" t="s">
        <v>22</v>
      </c>
      <c r="I102" t="s">
        <v>44</v>
      </c>
      <c r="J102">
        <v>19</v>
      </c>
      <c r="K102" s="4" t="s">
        <v>51</v>
      </c>
      <c r="L102">
        <v>1265.48</v>
      </c>
      <c r="M102">
        <v>1715.83</v>
      </c>
      <c r="N102" t="s">
        <v>46</v>
      </c>
      <c r="O102" s="30">
        <v>0.05</v>
      </c>
      <c r="P102" t="s">
        <v>47</v>
      </c>
      <c r="Q102" t="s">
        <v>27</v>
      </c>
      <c r="R102" t="s">
        <v>28</v>
      </c>
      <c r="S102">
        <f t="shared" si="6"/>
        <v>30970.731499999994</v>
      </c>
      <c r="T102">
        <f t="shared" si="7"/>
        <v>24044.12</v>
      </c>
      <c r="U102">
        <f t="shared" si="8"/>
        <v>6926.6114999999954</v>
      </c>
      <c r="V102" t="str">
        <f t="shared" si="9"/>
        <v>Senior</v>
      </c>
    </row>
    <row r="103" spans="1:22" x14ac:dyDescent="0.35">
      <c r="A103" t="s">
        <v>229</v>
      </c>
      <c r="B103">
        <v>1089</v>
      </c>
      <c r="C103" s="1">
        <v>44927</v>
      </c>
      <c r="D103" s="1" t="str">
        <f t="shared" si="5"/>
        <v>Jan</v>
      </c>
      <c r="E103" t="s">
        <v>184</v>
      </c>
      <c r="F103">
        <v>45</v>
      </c>
      <c r="G103" t="s">
        <v>100</v>
      </c>
      <c r="H103" t="s">
        <v>81</v>
      </c>
      <c r="I103" t="s">
        <v>50</v>
      </c>
      <c r="J103">
        <v>35</v>
      </c>
      <c r="K103" s="4" t="s">
        <v>45</v>
      </c>
      <c r="L103">
        <v>4071.01</v>
      </c>
      <c r="M103">
        <v>4304.7</v>
      </c>
      <c r="N103" t="s">
        <v>46</v>
      </c>
      <c r="O103" s="30">
        <v>0.14000000000000001</v>
      </c>
      <c r="P103" t="s">
        <v>47</v>
      </c>
      <c r="Q103" t="s">
        <v>27</v>
      </c>
      <c r="R103" t="s">
        <v>35</v>
      </c>
      <c r="S103">
        <f t="shared" si="6"/>
        <v>129571.47</v>
      </c>
      <c r="T103">
        <f t="shared" si="7"/>
        <v>142485.35</v>
      </c>
      <c r="U103">
        <f t="shared" si="8"/>
        <v>-12913.880000000005</v>
      </c>
      <c r="V103" t="str">
        <f t="shared" si="9"/>
        <v>Senior</v>
      </c>
    </row>
    <row r="104" spans="1:22" x14ac:dyDescent="0.35">
      <c r="A104" t="s">
        <v>230</v>
      </c>
      <c r="B104">
        <v>1060</v>
      </c>
      <c r="C104" s="1">
        <v>45222</v>
      </c>
      <c r="D104" s="1" t="str">
        <f t="shared" si="5"/>
        <v>Oct</v>
      </c>
      <c r="E104" t="s">
        <v>231</v>
      </c>
      <c r="F104">
        <v>27</v>
      </c>
      <c r="G104" t="s">
        <v>31</v>
      </c>
      <c r="H104" t="s">
        <v>22</v>
      </c>
      <c r="I104" t="s">
        <v>23</v>
      </c>
      <c r="J104">
        <v>46</v>
      </c>
      <c r="K104" s="4" t="s">
        <v>45</v>
      </c>
      <c r="L104">
        <v>1747.05</v>
      </c>
      <c r="M104">
        <v>1830.27</v>
      </c>
      <c r="N104" t="s">
        <v>46</v>
      </c>
      <c r="O104" s="30">
        <v>0.15</v>
      </c>
      <c r="P104" t="s">
        <v>40</v>
      </c>
      <c r="Q104" t="s">
        <v>34</v>
      </c>
      <c r="R104" t="s">
        <v>28</v>
      </c>
      <c r="S104">
        <f t="shared" si="6"/>
        <v>71563.557000000001</v>
      </c>
      <c r="T104">
        <f t="shared" si="7"/>
        <v>80364.3</v>
      </c>
      <c r="U104">
        <f t="shared" si="8"/>
        <v>-8800.7430000000022</v>
      </c>
      <c r="V104" t="str">
        <f t="shared" si="9"/>
        <v>Adult</v>
      </c>
    </row>
    <row r="105" spans="1:22" x14ac:dyDescent="0.35">
      <c r="A105" t="s">
        <v>232</v>
      </c>
      <c r="B105">
        <v>1041</v>
      </c>
      <c r="C105" s="1">
        <v>45246</v>
      </c>
      <c r="D105" s="1" t="str">
        <f t="shared" si="5"/>
        <v>Nov</v>
      </c>
      <c r="E105" t="s">
        <v>158</v>
      </c>
      <c r="F105">
        <v>56</v>
      </c>
      <c r="G105" t="s">
        <v>65</v>
      </c>
      <c r="H105" t="s">
        <v>54</v>
      </c>
      <c r="I105" t="s">
        <v>44</v>
      </c>
      <c r="J105">
        <v>40</v>
      </c>
      <c r="K105" s="4" t="s">
        <v>39</v>
      </c>
      <c r="L105">
        <v>601.86</v>
      </c>
      <c r="M105">
        <v>1067.53</v>
      </c>
      <c r="N105" t="s">
        <v>46</v>
      </c>
      <c r="O105" s="30">
        <v>0.18</v>
      </c>
      <c r="P105" t="s">
        <v>26</v>
      </c>
      <c r="Q105" t="s">
        <v>34</v>
      </c>
      <c r="R105" t="s">
        <v>28</v>
      </c>
      <c r="S105">
        <f t="shared" si="6"/>
        <v>35014.983999999997</v>
      </c>
      <c r="T105">
        <f t="shared" si="7"/>
        <v>24074.400000000001</v>
      </c>
      <c r="U105">
        <f t="shared" si="8"/>
        <v>10940.583999999995</v>
      </c>
      <c r="V105" t="str">
        <f t="shared" si="9"/>
        <v>Senior</v>
      </c>
    </row>
    <row r="106" spans="1:22" x14ac:dyDescent="0.35">
      <c r="A106" t="s">
        <v>233</v>
      </c>
      <c r="B106">
        <v>1029</v>
      </c>
      <c r="C106" s="1">
        <v>44986</v>
      </c>
      <c r="D106" s="1" t="str">
        <f t="shared" si="5"/>
        <v>Mar</v>
      </c>
      <c r="E106" t="s">
        <v>203</v>
      </c>
      <c r="F106">
        <v>34</v>
      </c>
      <c r="G106" t="s">
        <v>65</v>
      </c>
      <c r="H106" t="s">
        <v>81</v>
      </c>
      <c r="I106" t="s">
        <v>23</v>
      </c>
      <c r="J106">
        <v>28</v>
      </c>
      <c r="K106" s="4" t="s">
        <v>45</v>
      </c>
      <c r="L106">
        <v>2873.53</v>
      </c>
      <c r="M106">
        <v>3108.3</v>
      </c>
      <c r="N106" t="s">
        <v>46</v>
      </c>
      <c r="O106" s="30">
        <v>0.15</v>
      </c>
      <c r="P106" t="s">
        <v>47</v>
      </c>
      <c r="Q106" t="s">
        <v>27</v>
      </c>
      <c r="R106" t="s">
        <v>41</v>
      </c>
      <c r="S106">
        <f t="shared" si="6"/>
        <v>73977.540000000008</v>
      </c>
      <c r="T106">
        <f t="shared" si="7"/>
        <v>80458.840000000011</v>
      </c>
      <c r="U106">
        <f t="shared" si="8"/>
        <v>-6481.3000000000029</v>
      </c>
      <c r="V106" t="str">
        <f t="shared" si="9"/>
        <v>Adult</v>
      </c>
    </row>
    <row r="107" spans="1:22" x14ac:dyDescent="0.35">
      <c r="A107" t="s">
        <v>234</v>
      </c>
      <c r="B107">
        <v>1015</v>
      </c>
      <c r="C107" s="1">
        <v>45246</v>
      </c>
      <c r="D107" s="1" t="str">
        <f t="shared" si="5"/>
        <v>Nov</v>
      </c>
      <c r="E107" t="s">
        <v>235</v>
      </c>
      <c r="F107">
        <v>56</v>
      </c>
      <c r="G107" t="s">
        <v>65</v>
      </c>
      <c r="H107" t="s">
        <v>32</v>
      </c>
      <c r="I107" t="s">
        <v>23</v>
      </c>
      <c r="J107">
        <v>1</v>
      </c>
      <c r="K107" s="4" t="s">
        <v>24</v>
      </c>
      <c r="L107">
        <v>2928.74</v>
      </c>
      <c r="M107">
        <v>3027.74</v>
      </c>
      <c r="N107" t="s">
        <v>46</v>
      </c>
      <c r="O107" s="30">
        <v>0.15</v>
      </c>
      <c r="P107" t="s">
        <v>40</v>
      </c>
      <c r="Q107" t="s">
        <v>27</v>
      </c>
      <c r="R107" t="s">
        <v>28</v>
      </c>
      <c r="S107">
        <f t="shared" si="6"/>
        <v>2573.5789999999997</v>
      </c>
      <c r="T107">
        <f t="shared" si="7"/>
        <v>2928.74</v>
      </c>
      <c r="U107">
        <f t="shared" si="8"/>
        <v>-355.16100000000006</v>
      </c>
      <c r="V107" t="str">
        <f t="shared" si="9"/>
        <v>Senior</v>
      </c>
    </row>
    <row r="108" spans="1:22" x14ac:dyDescent="0.35">
      <c r="A108" t="s">
        <v>236</v>
      </c>
      <c r="B108">
        <v>1045</v>
      </c>
      <c r="C108" s="1">
        <v>45275</v>
      </c>
      <c r="D108" s="1" t="str">
        <f t="shared" si="5"/>
        <v>Dec</v>
      </c>
      <c r="E108" t="s">
        <v>56</v>
      </c>
      <c r="F108">
        <v>39</v>
      </c>
      <c r="G108" t="s">
        <v>31</v>
      </c>
      <c r="H108" t="s">
        <v>38</v>
      </c>
      <c r="I108" t="s">
        <v>44</v>
      </c>
      <c r="J108">
        <v>42</v>
      </c>
      <c r="K108" s="4" t="s">
        <v>45</v>
      </c>
      <c r="L108">
        <v>3587.74</v>
      </c>
      <c r="M108">
        <v>4745.91</v>
      </c>
      <c r="N108" t="s">
        <v>25</v>
      </c>
      <c r="O108" s="30">
        <v>0.1</v>
      </c>
      <c r="P108" t="s">
        <v>26</v>
      </c>
      <c r="Q108" t="s">
        <v>34</v>
      </c>
      <c r="R108" t="s">
        <v>41</v>
      </c>
      <c r="S108">
        <f t="shared" si="6"/>
        <v>179395.39800000002</v>
      </c>
      <c r="T108">
        <f t="shared" si="7"/>
        <v>150685.07999999999</v>
      </c>
      <c r="U108">
        <f t="shared" si="8"/>
        <v>28710.318000000028</v>
      </c>
      <c r="V108" t="str">
        <f t="shared" si="9"/>
        <v>Adult</v>
      </c>
    </row>
    <row r="109" spans="1:22" x14ac:dyDescent="0.35">
      <c r="A109" t="s">
        <v>237</v>
      </c>
      <c r="B109">
        <v>1065</v>
      </c>
      <c r="C109" s="1">
        <v>45254</v>
      </c>
      <c r="D109" s="1" t="str">
        <f t="shared" si="5"/>
        <v>Nov</v>
      </c>
      <c r="E109" t="s">
        <v>145</v>
      </c>
      <c r="F109">
        <v>43</v>
      </c>
      <c r="G109" t="s">
        <v>100</v>
      </c>
      <c r="H109" t="s">
        <v>22</v>
      </c>
      <c r="I109" t="s">
        <v>23</v>
      </c>
      <c r="J109">
        <v>18</v>
      </c>
      <c r="K109" s="4" t="s">
        <v>39</v>
      </c>
      <c r="L109">
        <v>1239.0899999999999</v>
      </c>
      <c r="M109">
        <v>1273.98</v>
      </c>
      <c r="N109" t="s">
        <v>46</v>
      </c>
      <c r="O109" s="30">
        <v>0.02</v>
      </c>
      <c r="P109" t="s">
        <v>40</v>
      </c>
      <c r="Q109" t="s">
        <v>34</v>
      </c>
      <c r="R109" t="s">
        <v>35</v>
      </c>
      <c r="S109">
        <f t="shared" si="6"/>
        <v>22473.0072</v>
      </c>
      <c r="T109">
        <f t="shared" si="7"/>
        <v>22303.62</v>
      </c>
      <c r="U109">
        <f t="shared" si="8"/>
        <v>169.38720000000103</v>
      </c>
      <c r="V109" t="str">
        <f t="shared" si="9"/>
        <v>Senior</v>
      </c>
    </row>
    <row r="110" spans="1:22" x14ac:dyDescent="0.35">
      <c r="A110" t="s">
        <v>238</v>
      </c>
      <c r="B110">
        <v>1089</v>
      </c>
      <c r="C110" s="1">
        <v>45193</v>
      </c>
      <c r="D110" s="1" t="str">
        <f t="shared" si="5"/>
        <v>Sep</v>
      </c>
      <c r="E110" t="s">
        <v>239</v>
      </c>
      <c r="F110">
        <v>61</v>
      </c>
      <c r="G110" t="s">
        <v>31</v>
      </c>
      <c r="H110" t="s">
        <v>38</v>
      </c>
      <c r="I110" t="s">
        <v>50</v>
      </c>
      <c r="J110">
        <v>48</v>
      </c>
      <c r="K110" s="4" t="s">
        <v>39</v>
      </c>
      <c r="L110">
        <v>2246.67</v>
      </c>
      <c r="M110">
        <v>2486.14</v>
      </c>
      <c r="N110" t="s">
        <v>46</v>
      </c>
      <c r="O110" s="30">
        <v>0.03</v>
      </c>
      <c r="P110" t="s">
        <v>26</v>
      </c>
      <c r="Q110" t="s">
        <v>34</v>
      </c>
      <c r="R110" t="s">
        <v>35</v>
      </c>
      <c r="S110">
        <f t="shared" si="6"/>
        <v>115754.6784</v>
      </c>
      <c r="T110">
        <f t="shared" si="7"/>
        <v>107840.16</v>
      </c>
      <c r="U110">
        <f t="shared" si="8"/>
        <v>7914.5184000000008</v>
      </c>
      <c r="V110" t="str">
        <f t="shared" si="9"/>
        <v>Senior</v>
      </c>
    </row>
    <row r="111" spans="1:22" x14ac:dyDescent="0.35">
      <c r="A111" t="s">
        <v>240</v>
      </c>
      <c r="B111">
        <v>1071</v>
      </c>
      <c r="C111" s="1">
        <v>45287</v>
      </c>
      <c r="D111" s="1" t="str">
        <f t="shared" si="5"/>
        <v>Dec</v>
      </c>
      <c r="E111" t="s">
        <v>241</v>
      </c>
      <c r="F111">
        <v>42</v>
      </c>
      <c r="G111" t="s">
        <v>31</v>
      </c>
      <c r="H111" t="s">
        <v>38</v>
      </c>
      <c r="I111" t="s">
        <v>23</v>
      </c>
      <c r="J111">
        <v>40</v>
      </c>
      <c r="K111" s="4" t="s">
        <v>39</v>
      </c>
      <c r="L111">
        <v>1447.72</v>
      </c>
      <c r="M111">
        <v>1875.75</v>
      </c>
      <c r="N111" t="s">
        <v>46</v>
      </c>
      <c r="O111" s="30">
        <v>0.13</v>
      </c>
      <c r="P111" t="s">
        <v>26</v>
      </c>
      <c r="Q111" t="s">
        <v>34</v>
      </c>
      <c r="R111" t="s">
        <v>41</v>
      </c>
      <c r="S111">
        <f t="shared" si="6"/>
        <v>65276.1</v>
      </c>
      <c r="T111">
        <f t="shared" si="7"/>
        <v>57908.800000000003</v>
      </c>
      <c r="U111">
        <f t="shared" si="8"/>
        <v>7367.2999999999956</v>
      </c>
      <c r="V111" t="str">
        <f t="shared" si="9"/>
        <v>Senior</v>
      </c>
    </row>
    <row r="112" spans="1:22" x14ac:dyDescent="0.35">
      <c r="A112" t="s">
        <v>242</v>
      </c>
      <c r="B112">
        <v>1009</v>
      </c>
      <c r="C112" s="1">
        <v>45155</v>
      </c>
      <c r="D112" s="1" t="str">
        <f t="shared" si="5"/>
        <v>Aug</v>
      </c>
      <c r="E112" t="s">
        <v>60</v>
      </c>
      <c r="F112">
        <v>34</v>
      </c>
      <c r="G112" t="s">
        <v>65</v>
      </c>
      <c r="H112" t="s">
        <v>81</v>
      </c>
      <c r="I112" t="s">
        <v>50</v>
      </c>
      <c r="J112">
        <v>33</v>
      </c>
      <c r="K112" s="4" t="s">
        <v>45</v>
      </c>
      <c r="L112">
        <v>450.72</v>
      </c>
      <c r="M112">
        <v>918.17</v>
      </c>
      <c r="N112" t="s">
        <v>25</v>
      </c>
      <c r="O112" s="30">
        <v>0.11</v>
      </c>
      <c r="P112" t="s">
        <v>26</v>
      </c>
      <c r="Q112" t="s">
        <v>27</v>
      </c>
      <c r="R112" t="s">
        <v>35</v>
      </c>
      <c r="S112">
        <f t="shared" si="6"/>
        <v>26966.652899999997</v>
      </c>
      <c r="T112">
        <f t="shared" si="7"/>
        <v>14873.76</v>
      </c>
      <c r="U112">
        <f t="shared" si="8"/>
        <v>12092.892899999997</v>
      </c>
      <c r="V112" t="str">
        <f t="shared" si="9"/>
        <v>Adult</v>
      </c>
    </row>
    <row r="113" spans="1:22" x14ac:dyDescent="0.35">
      <c r="A113" t="s">
        <v>243</v>
      </c>
      <c r="B113">
        <v>1088</v>
      </c>
      <c r="C113" s="1">
        <v>45196</v>
      </c>
      <c r="D113" s="1" t="str">
        <f t="shared" si="5"/>
        <v>Sep</v>
      </c>
      <c r="E113" t="s">
        <v>244</v>
      </c>
      <c r="F113">
        <v>30</v>
      </c>
      <c r="G113" t="s">
        <v>54</v>
      </c>
      <c r="H113" t="s">
        <v>38</v>
      </c>
      <c r="I113" t="s">
        <v>50</v>
      </c>
      <c r="J113">
        <v>12</v>
      </c>
      <c r="K113" s="4" t="s">
        <v>45</v>
      </c>
      <c r="L113">
        <v>4389.24</v>
      </c>
      <c r="M113">
        <v>4856.22</v>
      </c>
      <c r="N113" t="s">
        <v>25</v>
      </c>
      <c r="O113" s="30">
        <v>0.15</v>
      </c>
      <c r="P113" t="s">
        <v>26</v>
      </c>
      <c r="Q113" t="s">
        <v>34</v>
      </c>
      <c r="R113" t="s">
        <v>28</v>
      </c>
      <c r="S113">
        <f t="shared" si="6"/>
        <v>49533.443999999996</v>
      </c>
      <c r="T113">
        <f t="shared" si="7"/>
        <v>52670.879999999997</v>
      </c>
      <c r="U113">
        <f t="shared" si="8"/>
        <v>-3137.4360000000015</v>
      </c>
      <c r="V113" t="str">
        <f t="shared" si="9"/>
        <v>Adult</v>
      </c>
    </row>
    <row r="114" spans="1:22" x14ac:dyDescent="0.35">
      <c r="A114" t="s">
        <v>245</v>
      </c>
      <c r="B114">
        <v>1001</v>
      </c>
      <c r="C114" s="1">
        <v>45242</v>
      </c>
      <c r="D114" s="1" t="str">
        <f t="shared" si="5"/>
        <v>Nov</v>
      </c>
      <c r="E114" t="s">
        <v>246</v>
      </c>
      <c r="F114">
        <v>37</v>
      </c>
      <c r="G114" t="s">
        <v>100</v>
      </c>
      <c r="H114" t="s">
        <v>32</v>
      </c>
      <c r="I114" t="s">
        <v>50</v>
      </c>
      <c r="J114">
        <v>8</v>
      </c>
      <c r="K114" s="4" t="s">
        <v>51</v>
      </c>
      <c r="L114">
        <v>3657.91</v>
      </c>
      <c r="M114">
        <v>3729.27</v>
      </c>
      <c r="N114" t="s">
        <v>46</v>
      </c>
      <c r="O114" s="30">
        <v>0.09</v>
      </c>
      <c r="P114" t="s">
        <v>40</v>
      </c>
      <c r="Q114" t="s">
        <v>27</v>
      </c>
      <c r="R114" t="s">
        <v>28</v>
      </c>
      <c r="S114">
        <f t="shared" si="6"/>
        <v>27149.085600000002</v>
      </c>
      <c r="T114">
        <f t="shared" si="7"/>
        <v>29263.279999999999</v>
      </c>
      <c r="U114">
        <f t="shared" si="8"/>
        <v>-2114.1943999999967</v>
      </c>
      <c r="V114" t="str">
        <f t="shared" si="9"/>
        <v>Adult</v>
      </c>
    </row>
    <row r="115" spans="1:22" x14ac:dyDescent="0.35">
      <c r="A115" t="s">
        <v>247</v>
      </c>
      <c r="B115">
        <v>1008</v>
      </c>
      <c r="C115" s="1">
        <v>45212</v>
      </c>
      <c r="D115" s="1" t="str">
        <f t="shared" si="5"/>
        <v>Oct</v>
      </c>
      <c r="E115" t="s">
        <v>248</v>
      </c>
      <c r="F115">
        <v>42</v>
      </c>
      <c r="G115" t="s">
        <v>65</v>
      </c>
      <c r="H115" t="s">
        <v>38</v>
      </c>
      <c r="I115" t="s">
        <v>33</v>
      </c>
      <c r="J115">
        <v>24</v>
      </c>
      <c r="K115" s="4" t="s">
        <v>51</v>
      </c>
      <c r="L115">
        <v>1542.24</v>
      </c>
      <c r="M115">
        <v>1739.45</v>
      </c>
      <c r="N115" t="s">
        <v>25</v>
      </c>
      <c r="O115" s="30">
        <v>0.21</v>
      </c>
      <c r="P115" t="s">
        <v>40</v>
      </c>
      <c r="Q115" t="s">
        <v>34</v>
      </c>
      <c r="R115" t="s">
        <v>28</v>
      </c>
      <c r="S115">
        <f t="shared" si="6"/>
        <v>32979.972000000002</v>
      </c>
      <c r="T115">
        <f t="shared" si="7"/>
        <v>37013.760000000002</v>
      </c>
      <c r="U115">
        <f t="shared" si="8"/>
        <v>-4033.7880000000005</v>
      </c>
      <c r="V115" t="str">
        <f t="shared" si="9"/>
        <v>Senior</v>
      </c>
    </row>
    <row r="116" spans="1:22" x14ac:dyDescent="0.35">
      <c r="A116" t="s">
        <v>249</v>
      </c>
      <c r="B116">
        <v>1088</v>
      </c>
      <c r="C116" s="1">
        <v>45217</v>
      </c>
      <c r="D116" s="1" t="str">
        <f t="shared" si="5"/>
        <v>Oct</v>
      </c>
      <c r="E116" t="s">
        <v>250</v>
      </c>
      <c r="F116">
        <v>21</v>
      </c>
      <c r="G116" t="s">
        <v>54</v>
      </c>
      <c r="H116" t="s">
        <v>81</v>
      </c>
      <c r="I116" t="s">
        <v>23</v>
      </c>
      <c r="J116">
        <v>16</v>
      </c>
      <c r="K116" s="4" t="s">
        <v>24</v>
      </c>
      <c r="L116">
        <v>3016.9</v>
      </c>
      <c r="M116">
        <v>4140.7299999999996</v>
      </c>
      <c r="N116" t="s">
        <v>46</v>
      </c>
      <c r="O116" s="30">
        <v>0.26</v>
      </c>
      <c r="P116" t="s">
        <v>40</v>
      </c>
      <c r="Q116" t="s">
        <v>34</v>
      </c>
      <c r="R116" t="s">
        <v>35</v>
      </c>
      <c r="S116">
        <f t="shared" si="6"/>
        <v>49026.243199999997</v>
      </c>
      <c r="T116">
        <f t="shared" si="7"/>
        <v>48270.400000000001</v>
      </c>
      <c r="U116">
        <f t="shared" si="8"/>
        <v>755.8431999999957</v>
      </c>
      <c r="V116" t="str">
        <f t="shared" si="9"/>
        <v>Young</v>
      </c>
    </row>
    <row r="117" spans="1:22" x14ac:dyDescent="0.35">
      <c r="A117" t="s">
        <v>251</v>
      </c>
      <c r="B117">
        <v>1063</v>
      </c>
      <c r="C117" s="1">
        <v>45139</v>
      </c>
      <c r="D117" s="1" t="str">
        <f t="shared" si="5"/>
        <v>Aug</v>
      </c>
      <c r="E117" t="s">
        <v>252</v>
      </c>
      <c r="F117">
        <v>27</v>
      </c>
      <c r="G117" t="s">
        <v>54</v>
      </c>
      <c r="H117" t="s">
        <v>32</v>
      </c>
      <c r="I117" t="s">
        <v>44</v>
      </c>
      <c r="J117">
        <v>4</v>
      </c>
      <c r="K117" s="4" t="s">
        <v>51</v>
      </c>
      <c r="L117">
        <v>1046.26</v>
      </c>
      <c r="M117">
        <v>1475.29</v>
      </c>
      <c r="N117" t="s">
        <v>25</v>
      </c>
      <c r="O117" s="30">
        <v>0.09</v>
      </c>
      <c r="P117" t="s">
        <v>40</v>
      </c>
      <c r="Q117" t="s">
        <v>34</v>
      </c>
      <c r="R117" t="s">
        <v>28</v>
      </c>
      <c r="S117">
        <f t="shared" si="6"/>
        <v>5370.0555999999997</v>
      </c>
      <c r="T117">
        <f t="shared" si="7"/>
        <v>4185.04</v>
      </c>
      <c r="U117">
        <f t="shared" si="8"/>
        <v>1185.0155999999997</v>
      </c>
      <c r="V117" t="str">
        <f t="shared" si="9"/>
        <v>Adult</v>
      </c>
    </row>
    <row r="118" spans="1:22" x14ac:dyDescent="0.35">
      <c r="A118" t="s">
        <v>253</v>
      </c>
      <c r="B118">
        <v>1011</v>
      </c>
      <c r="C118" s="1">
        <v>45091</v>
      </c>
      <c r="D118" s="1" t="str">
        <f t="shared" si="5"/>
        <v>Jun</v>
      </c>
      <c r="E118" t="s">
        <v>254</v>
      </c>
      <c r="F118">
        <v>20</v>
      </c>
      <c r="G118" t="s">
        <v>21</v>
      </c>
      <c r="H118" t="s">
        <v>54</v>
      </c>
      <c r="I118" t="s">
        <v>44</v>
      </c>
      <c r="J118">
        <v>38</v>
      </c>
      <c r="K118" s="4" t="s">
        <v>24</v>
      </c>
      <c r="L118">
        <v>4456.67</v>
      </c>
      <c r="M118">
        <v>4642.46</v>
      </c>
      <c r="N118" t="s">
        <v>46</v>
      </c>
      <c r="O118" s="30">
        <v>0.06</v>
      </c>
      <c r="P118" t="s">
        <v>40</v>
      </c>
      <c r="Q118" t="s">
        <v>27</v>
      </c>
      <c r="R118" t="s">
        <v>35</v>
      </c>
      <c r="S118">
        <f t="shared" si="6"/>
        <v>165828.67120000001</v>
      </c>
      <c r="T118">
        <f t="shared" si="7"/>
        <v>169353.46</v>
      </c>
      <c r="U118">
        <f t="shared" si="8"/>
        <v>-3524.7887999999803</v>
      </c>
      <c r="V118" t="str">
        <f t="shared" si="9"/>
        <v>Young</v>
      </c>
    </row>
    <row r="119" spans="1:22" x14ac:dyDescent="0.35">
      <c r="A119" t="s">
        <v>255</v>
      </c>
      <c r="B119">
        <v>1081</v>
      </c>
      <c r="C119" s="1">
        <v>44931</v>
      </c>
      <c r="D119" s="1" t="str">
        <f t="shared" si="5"/>
        <v>Jan</v>
      </c>
      <c r="E119" t="s">
        <v>143</v>
      </c>
      <c r="F119">
        <v>58</v>
      </c>
      <c r="G119" t="s">
        <v>100</v>
      </c>
      <c r="H119" t="s">
        <v>38</v>
      </c>
      <c r="I119" t="s">
        <v>23</v>
      </c>
      <c r="J119">
        <v>44</v>
      </c>
      <c r="K119" s="4" t="s">
        <v>39</v>
      </c>
      <c r="L119">
        <v>618.79</v>
      </c>
      <c r="M119">
        <v>938.04</v>
      </c>
      <c r="N119" t="s">
        <v>25</v>
      </c>
      <c r="O119" s="30">
        <v>0.03</v>
      </c>
      <c r="P119" t="s">
        <v>26</v>
      </c>
      <c r="Q119" t="s">
        <v>27</v>
      </c>
      <c r="R119" t="s">
        <v>28</v>
      </c>
      <c r="S119">
        <f t="shared" si="6"/>
        <v>40035.547199999994</v>
      </c>
      <c r="T119">
        <f t="shared" si="7"/>
        <v>27226.76</v>
      </c>
      <c r="U119">
        <f t="shared" si="8"/>
        <v>12808.787199999995</v>
      </c>
      <c r="V119" t="str">
        <f t="shared" si="9"/>
        <v>Senior</v>
      </c>
    </row>
    <row r="120" spans="1:22" x14ac:dyDescent="0.35">
      <c r="A120" t="s">
        <v>256</v>
      </c>
      <c r="B120">
        <v>1008</v>
      </c>
      <c r="C120" s="1">
        <v>45265</v>
      </c>
      <c r="D120" s="1" t="str">
        <f t="shared" si="5"/>
        <v>Dec</v>
      </c>
      <c r="E120" t="s">
        <v>20</v>
      </c>
      <c r="F120">
        <v>62</v>
      </c>
      <c r="G120" t="s">
        <v>54</v>
      </c>
      <c r="H120" t="s">
        <v>81</v>
      </c>
      <c r="I120" t="s">
        <v>33</v>
      </c>
      <c r="J120">
        <v>27</v>
      </c>
      <c r="K120" s="4" t="s">
        <v>51</v>
      </c>
      <c r="L120">
        <v>68.989999999999995</v>
      </c>
      <c r="M120">
        <v>429.29</v>
      </c>
      <c r="N120" t="s">
        <v>25</v>
      </c>
      <c r="O120" s="30">
        <v>0.18</v>
      </c>
      <c r="P120" t="s">
        <v>47</v>
      </c>
      <c r="Q120" t="s">
        <v>34</v>
      </c>
      <c r="R120" t="s">
        <v>41</v>
      </c>
      <c r="S120">
        <f t="shared" si="6"/>
        <v>9504.4806000000008</v>
      </c>
      <c r="T120">
        <f t="shared" si="7"/>
        <v>1862.7299999999998</v>
      </c>
      <c r="U120">
        <f t="shared" si="8"/>
        <v>7641.7506000000012</v>
      </c>
      <c r="V120" t="str">
        <f t="shared" si="9"/>
        <v>Senior</v>
      </c>
    </row>
    <row r="121" spans="1:22" x14ac:dyDescent="0.35">
      <c r="A121" t="s">
        <v>257</v>
      </c>
      <c r="B121">
        <v>1035</v>
      </c>
      <c r="C121" s="1">
        <v>45004</v>
      </c>
      <c r="D121" s="1" t="str">
        <f t="shared" si="5"/>
        <v>Mar</v>
      </c>
      <c r="E121" t="s">
        <v>150</v>
      </c>
      <c r="F121">
        <v>35</v>
      </c>
      <c r="G121" t="s">
        <v>65</v>
      </c>
      <c r="H121" t="s">
        <v>54</v>
      </c>
      <c r="I121" t="s">
        <v>33</v>
      </c>
      <c r="J121">
        <v>9</v>
      </c>
      <c r="K121" s="4" t="s">
        <v>45</v>
      </c>
      <c r="L121">
        <v>2534.94</v>
      </c>
      <c r="M121">
        <v>2755.56</v>
      </c>
      <c r="N121" t="s">
        <v>25</v>
      </c>
      <c r="O121" s="30">
        <v>0.13</v>
      </c>
      <c r="P121" t="s">
        <v>47</v>
      </c>
      <c r="Q121" t="s">
        <v>27</v>
      </c>
      <c r="R121" t="s">
        <v>35</v>
      </c>
      <c r="S121">
        <f t="shared" si="6"/>
        <v>21576.034800000001</v>
      </c>
      <c r="T121">
        <f t="shared" si="7"/>
        <v>22814.46</v>
      </c>
      <c r="U121">
        <f t="shared" si="8"/>
        <v>-1238.4251999999979</v>
      </c>
      <c r="V121" t="str">
        <f t="shared" si="9"/>
        <v>Adult</v>
      </c>
    </row>
    <row r="122" spans="1:22" x14ac:dyDescent="0.35">
      <c r="A122" t="s">
        <v>258</v>
      </c>
      <c r="B122">
        <v>1035</v>
      </c>
      <c r="C122" s="1">
        <v>44988</v>
      </c>
      <c r="D122" s="1" t="str">
        <f t="shared" si="5"/>
        <v>Mar</v>
      </c>
      <c r="E122" t="s">
        <v>70</v>
      </c>
      <c r="F122">
        <v>64</v>
      </c>
      <c r="G122" t="s">
        <v>21</v>
      </c>
      <c r="H122" t="s">
        <v>54</v>
      </c>
      <c r="I122" t="s">
        <v>50</v>
      </c>
      <c r="J122">
        <v>47</v>
      </c>
      <c r="K122" s="4" t="s">
        <v>51</v>
      </c>
      <c r="L122">
        <v>2936.48</v>
      </c>
      <c r="M122">
        <v>3096.64</v>
      </c>
      <c r="N122" t="s">
        <v>46</v>
      </c>
      <c r="O122" s="30">
        <v>0.06</v>
      </c>
      <c r="P122" t="s">
        <v>40</v>
      </c>
      <c r="Q122" t="s">
        <v>27</v>
      </c>
      <c r="R122" t="s">
        <v>35</v>
      </c>
      <c r="S122">
        <f t="shared" si="6"/>
        <v>136809.55519999997</v>
      </c>
      <c r="T122">
        <f t="shared" si="7"/>
        <v>138014.56</v>
      </c>
      <c r="U122">
        <f t="shared" si="8"/>
        <v>-1205.0048000000243</v>
      </c>
      <c r="V122" t="str">
        <f t="shared" si="9"/>
        <v>Senior</v>
      </c>
    </row>
    <row r="123" spans="1:22" x14ac:dyDescent="0.35">
      <c r="A123" t="s">
        <v>259</v>
      </c>
      <c r="B123">
        <v>1033</v>
      </c>
      <c r="C123" s="1">
        <v>45058</v>
      </c>
      <c r="D123" s="1" t="str">
        <f t="shared" si="5"/>
        <v>May</v>
      </c>
      <c r="E123" t="s">
        <v>260</v>
      </c>
      <c r="F123">
        <v>53</v>
      </c>
      <c r="G123" t="s">
        <v>100</v>
      </c>
      <c r="H123" t="s">
        <v>22</v>
      </c>
      <c r="I123" t="s">
        <v>23</v>
      </c>
      <c r="J123">
        <v>16</v>
      </c>
      <c r="K123" s="4" t="s">
        <v>24</v>
      </c>
      <c r="L123">
        <v>2915.88</v>
      </c>
      <c r="M123">
        <v>3397.36</v>
      </c>
      <c r="N123" t="s">
        <v>46</v>
      </c>
      <c r="O123" s="30">
        <v>0.2</v>
      </c>
      <c r="P123" t="s">
        <v>40</v>
      </c>
      <c r="Q123" t="s">
        <v>34</v>
      </c>
      <c r="R123" t="s">
        <v>28</v>
      </c>
      <c r="S123">
        <f t="shared" si="6"/>
        <v>43486.208000000006</v>
      </c>
      <c r="T123">
        <f t="shared" si="7"/>
        <v>46654.080000000002</v>
      </c>
      <c r="U123">
        <f t="shared" si="8"/>
        <v>-3167.8719999999958</v>
      </c>
      <c r="V123" t="str">
        <f t="shared" si="9"/>
        <v>Senior</v>
      </c>
    </row>
    <row r="124" spans="1:22" x14ac:dyDescent="0.35">
      <c r="A124" t="s">
        <v>261</v>
      </c>
      <c r="B124">
        <v>1005</v>
      </c>
      <c r="C124" s="1">
        <v>45015</v>
      </c>
      <c r="D124" s="1" t="str">
        <f t="shared" si="5"/>
        <v>Mar</v>
      </c>
      <c r="E124" t="s">
        <v>262</v>
      </c>
      <c r="F124">
        <v>64</v>
      </c>
      <c r="G124" t="s">
        <v>31</v>
      </c>
      <c r="H124" t="s">
        <v>32</v>
      </c>
      <c r="I124" t="s">
        <v>23</v>
      </c>
      <c r="J124">
        <v>12</v>
      </c>
      <c r="K124" s="4" t="s">
        <v>51</v>
      </c>
      <c r="L124">
        <v>319.83</v>
      </c>
      <c r="M124">
        <v>802.43</v>
      </c>
      <c r="N124" t="s">
        <v>46</v>
      </c>
      <c r="O124" s="30">
        <v>0.04</v>
      </c>
      <c r="P124" t="s">
        <v>47</v>
      </c>
      <c r="Q124" t="s">
        <v>34</v>
      </c>
      <c r="R124" t="s">
        <v>35</v>
      </c>
      <c r="S124">
        <f t="shared" si="6"/>
        <v>9243.9935999999998</v>
      </c>
      <c r="T124">
        <f t="shared" si="7"/>
        <v>3837.96</v>
      </c>
      <c r="U124">
        <f t="shared" si="8"/>
        <v>5406.0335999999998</v>
      </c>
      <c r="V124" t="str">
        <f t="shared" si="9"/>
        <v>Senior</v>
      </c>
    </row>
    <row r="125" spans="1:22" x14ac:dyDescent="0.35">
      <c r="A125" t="s">
        <v>263</v>
      </c>
      <c r="B125">
        <v>1041</v>
      </c>
      <c r="C125" s="1">
        <v>45163</v>
      </c>
      <c r="D125" s="1" t="str">
        <f t="shared" si="5"/>
        <v>Aug</v>
      </c>
      <c r="E125" t="s">
        <v>264</v>
      </c>
      <c r="F125">
        <v>39</v>
      </c>
      <c r="G125" t="s">
        <v>65</v>
      </c>
      <c r="H125" t="s">
        <v>38</v>
      </c>
      <c r="I125" t="s">
        <v>44</v>
      </c>
      <c r="J125">
        <v>31</v>
      </c>
      <c r="K125" s="4" t="s">
        <v>39</v>
      </c>
      <c r="L125">
        <v>1604.52</v>
      </c>
      <c r="M125">
        <v>1756.34</v>
      </c>
      <c r="N125" t="s">
        <v>25</v>
      </c>
      <c r="O125" s="30">
        <v>0.17</v>
      </c>
      <c r="P125" t="s">
        <v>26</v>
      </c>
      <c r="Q125" t="s">
        <v>27</v>
      </c>
      <c r="R125" t="s">
        <v>35</v>
      </c>
      <c r="S125">
        <f t="shared" si="6"/>
        <v>45190.628199999999</v>
      </c>
      <c r="T125">
        <f t="shared" si="7"/>
        <v>49740.12</v>
      </c>
      <c r="U125">
        <f t="shared" si="8"/>
        <v>-4549.4918000000034</v>
      </c>
      <c r="V125" t="str">
        <f t="shared" si="9"/>
        <v>Adult</v>
      </c>
    </row>
    <row r="126" spans="1:22" x14ac:dyDescent="0.35">
      <c r="A126" t="s">
        <v>265</v>
      </c>
      <c r="B126">
        <v>1028</v>
      </c>
      <c r="C126" s="1">
        <v>44968</v>
      </c>
      <c r="D126" s="1" t="str">
        <f t="shared" si="5"/>
        <v>Feb</v>
      </c>
      <c r="E126" t="s">
        <v>266</v>
      </c>
      <c r="F126">
        <v>51</v>
      </c>
      <c r="G126" t="s">
        <v>54</v>
      </c>
      <c r="H126" t="s">
        <v>81</v>
      </c>
      <c r="I126" t="s">
        <v>23</v>
      </c>
      <c r="J126">
        <v>24</v>
      </c>
      <c r="K126" s="4" t="s">
        <v>45</v>
      </c>
      <c r="L126">
        <v>2521.0300000000002</v>
      </c>
      <c r="M126">
        <v>2766.05</v>
      </c>
      <c r="N126" t="s">
        <v>25</v>
      </c>
      <c r="O126" s="30">
        <v>0.16</v>
      </c>
      <c r="P126" t="s">
        <v>40</v>
      </c>
      <c r="Q126" t="s">
        <v>27</v>
      </c>
      <c r="R126" t="s">
        <v>41</v>
      </c>
      <c r="S126">
        <f t="shared" si="6"/>
        <v>55763.568000000007</v>
      </c>
      <c r="T126">
        <f t="shared" si="7"/>
        <v>60504.72</v>
      </c>
      <c r="U126">
        <f t="shared" si="8"/>
        <v>-4741.1519999999946</v>
      </c>
      <c r="V126" t="str">
        <f t="shared" si="9"/>
        <v>Senior</v>
      </c>
    </row>
    <row r="127" spans="1:22" x14ac:dyDescent="0.35">
      <c r="A127" t="s">
        <v>267</v>
      </c>
      <c r="B127">
        <v>1007</v>
      </c>
      <c r="C127" s="1">
        <v>45015</v>
      </c>
      <c r="D127" s="1" t="str">
        <f t="shared" si="5"/>
        <v>Mar</v>
      </c>
      <c r="E127" t="s">
        <v>139</v>
      </c>
      <c r="F127">
        <v>64</v>
      </c>
      <c r="G127" t="s">
        <v>54</v>
      </c>
      <c r="H127" t="s">
        <v>22</v>
      </c>
      <c r="I127" t="s">
        <v>33</v>
      </c>
      <c r="J127">
        <v>14</v>
      </c>
      <c r="K127" s="4" t="s">
        <v>24</v>
      </c>
      <c r="L127">
        <v>1122.07</v>
      </c>
      <c r="M127">
        <v>1608.76</v>
      </c>
      <c r="N127" t="s">
        <v>46</v>
      </c>
      <c r="O127" s="30">
        <v>0.22</v>
      </c>
      <c r="P127" t="s">
        <v>26</v>
      </c>
      <c r="Q127" t="s">
        <v>27</v>
      </c>
      <c r="R127" t="s">
        <v>41</v>
      </c>
      <c r="S127">
        <f t="shared" si="6"/>
        <v>17567.659200000002</v>
      </c>
      <c r="T127">
        <f t="shared" si="7"/>
        <v>15708.98</v>
      </c>
      <c r="U127">
        <f t="shared" si="8"/>
        <v>1858.6792000000023</v>
      </c>
      <c r="V127" t="str">
        <f t="shared" si="9"/>
        <v>Senior</v>
      </c>
    </row>
    <row r="128" spans="1:22" x14ac:dyDescent="0.35">
      <c r="A128" t="s">
        <v>268</v>
      </c>
      <c r="B128">
        <v>1073</v>
      </c>
      <c r="C128" s="1">
        <v>45222</v>
      </c>
      <c r="D128" s="1" t="str">
        <f t="shared" si="5"/>
        <v>Oct</v>
      </c>
      <c r="E128" t="s">
        <v>127</v>
      </c>
      <c r="F128">
        <v>25</v>
      </c>
      <c r="G128" t="s">
        <v>65</v>
      </c>
      <c r="H128" t="s">
        <v>32</v>
      </c>
      <c r="I128" t="s">
        <v>23</v>
      </c>
      <c r="J128">
        <v>45</v>
      </c>
      <c r="K128" s="4" t="s">
        <v>45</v>
      </c>
      <c r="L128">
        <v>4369.5</v>
      </c>
      <c r="M128">
        <v>4381.8900000000003</v>
      </c>
      <c r="N128" t="s">
        <v>25</v>
      </c>
      <c r="O128" s="30">
        <v>0.02</v>
      </c>
      <c r="P128" t="s">
        <v>47</v>
      </c>
      <c r="Q128" t="s">
        <v>34</v>
      </c>
      <c r="R128" t="s">
        <v>28</v>
      </c>
      <c r="S128">
        <f t="shared" si="6"/>
        <v>193241.34900000002</v>
      </c>
      <c r="T128">
        <f t="shared" si="7"/>
        <v>196627.5</v>
      </c>
      <c r="U128">
        <f t="shared" si="8"/>
        <v>-3386.1509999999835</v>
      </c>
      <c r="V128" t="str">
        <f t="shared" si="9"/>
        <v>Adult</v>
      </c>
    </row>
    <row r="129" spans="1:22" x14ac:dyDescent="0.35">
      <c r="A129" t="s">
        <v>269</v>
      </c>
      <c r="B129">
        <v>1072</v>
      </c>
      <c r="C129" s="1">
        <v>45254</v>
      </c>
      <c r="D129" s="1" t="str">
        <f t="shared" si="5"/>
        <v>Nov</v>
      </c>
      <c r="E129" t="s">
        <v>270</v>
      </c>
      <c r="F129">
        <v>57</v>
      </c>
      <c r="G129" t="s">
        <v>54</v>
      </c>
      <c r="H129" t="s">
        <v>22</v>
      </c>
      <c r="I129" t="s">
        <v>44</v>
      </c>
      <c r="J129">
        <v>25</v>
      </c>
      <c r="K129" s="4" t="s">
        <v>45</v>
      </c>
      <c r="L129">
        <v>481.19</v>
      </c>
      <c r="M129">
        <v>693.4</v>
      </c>
      <c r="N129" t="s">
        <v>46</v>
      </c>
      <c r="O129" s="30">
        <v>0.27</v>
      </c>
      <c r="P129" t="s">
        <v>47</v>
      </c>
      <c r="Q129" t="s">
        <v>34</v>
      </c>
      <c r="R129" t="s">
        <v>41</v>
      </c>
      <c r="S129">
        <f t="shared" si="6"/>
        <v>12654.55</v>
      </c>
      <c r="T129">
        <f t="shared" si="7"/>
        <v>12029.75</v>
      </c>
      <c r="U129">
        <f t="shared" si="8"/>
        <v>624.79999999999927</v>
      </c>
      <c r="V129" t="str">
        <f t="shared" si="9"/>
        <v>Senior</v>
      </c>
    </row>
    <row r="130" spans="1:22" x14ac:dyDescent="0.35">
      <c r="A130" t="s">
        <v>271</v>
      </c>
      <c r="B130">
        <v>1012</v>
      </c>
      <c r="C130" s="1">
        <v>45221</v>
      </c>
      <c r="D130" s="1" t="str">
        <f t="shared" si="5"/>
        <v>Oct</v>
      </c>
      <c r="E130" t="s">
        <v>272</v>
      </c>
      <c r="F130">
        <v>61</v>
      </c>
      <c r="G130" t="s">
        <v>21</v>
      </c>
      <c r="H130" t="s">
        <v>32</v>
      </c>
      <c r="I130" t="s">
        <v>50</v>
      </c>
      <c r="J130">
        <v>34</v>
      </c>
      <c r="K130" s="4" t="s">
        <v>24</v>
      </c>
      <c r="L130">
        <v>2462.5500000000002</v>
      </c>
      <c r="M130">
        <v>2521.77</v>
      </c>
      <c r="N130" t="s">
        <v>46</v>
      </c>
      <c r="O130" s="30">
        <v>0.21</v>
      </c>
      <c r="P130" t="s">
        <v>40</v>
      </c>
      <c r="Q130" t="s">
        <v>27</v>
      </c>
      <c r="R130" t="s">
        <v>28</v>
      </c>
      <c r="S130">
        <f t="shared" si="6"/>
        <v>67734.742199999993</v>
      </c>
      <c r="T130">
        <f t="shared" si="7"/>
        <v>83726.700000000012</v>
      </c>
      <c r="U130">
        <f t="shared" si="8"/>
        <v>-15991.957800000018</v>
      </c>
      <c r="V130" t="str">
        <f t="shared" si="9"/>
        <v>Senior</v>
      </c>
    </row>
    <row r="131" spans="1:22" x14ac:dyDescent="0.35">
      <c r="A131" t="s">
        <v>273</v>
      </c>
      <c r="B131">
        <v>1034</v>
      </c>
      <c r="C131" s="1">
        <v>45030</v>
      </c>
      <c r="D131" s="1" t="str">
        <f t="shared" ref="D131:D194" si="10">TEXT(C131,"mmm")</f>
        <v>Apr</v>
      </c>
      <c r="E131" t="s">
        <v>274</v>
      </c>
      <c r="F131">
        <v>36</v>
      </c>
      <c r="G131" t="s">
        <v>100</v>
      </c>
      <c r="H131" t="s">
        <v>32</v>
      </c>
      <c r="I131" t="s">
        <v>44</v>
      </c>
      <c r="J131">
        <v>3</v>
      </c>
      <c r="K131" s="4" t="s">
        <v>45</v>
      </c>
      <c r="L131">
        <v>3472.51</v>
      </c>
      <c r="M131">
        <v>3732</v>
      </c>
      <c r="N131" t="s">
        <v>46</v>
      </c>
      <c r="O131" s="30">
        <v>0.06</v>
      </c>
      <c r="P131" t="s">
        <v>26</v>
      </c>
      <c r="Q131" t="s">
        <v>34</v>
      </c>
      <c r="R131" t="s">
        <v>28</v>
      </c>
      <c r="S131">
        <f t="shared" ref="S131:S194" si="11">J131*M131*(1-O131)</f>
        <v>10524.24</v>
      </c>
      <c r="T131">
        <f t="shared" ref="T131:T194" si="12">L131*J131</f>
        <v>10417.530000000001</v>
      </c>
      <c r="U131">
        <f t="shared" ref="U131:U194" si="13">S131-T131</f>
        <v>106.70999999999913</v>
      </c>
      <c r="V131" t="str">
        <f t="shared" ref="V131:V194" si="14">_xlfn.IFS(
F131&lt;25,"Young",
F131&lt;=40,"Adult",
F131&gt;40,"Senior"
)</f>
        <v>Adult</v>
      </c>
    </row>
    <row r="132" spans="1:22" x14ac:dyDescent="0.35">
      <c r="A132" t="s">
        <v>275</v>
      </c>
      <c r="B132">
        <v>1033</v>
      </c>
      <c r="C132" s="1">
        <v>44940</v>
      </c>
      <c r="D132" s="1" t="str">
        <f t="shared" si="10"/>
        <v>Jan</v>
      </c>
      <c r="E132" t="s">
        <v>76</v>
      </c>
      <c r="F132">
        <v>59</v>
      </c>
      <c r="G132" t="s">
        <v>21</v>
      </c>
      <c r="H132" t="s">
        <v>38</v>
      </c>
      <c r="I132" t="s">
        <v>44</v>
      </c>
      <c r="J132">
        <v>24</v>
      </c>
      <c r="K132" s="4" t="s">
        <v>45</v>
      </c>
      <c r="L132">
        <v>1345.67</v>
      </c>
      <c r="M132">
        <v>1367.76</v>
      </c>
      <c r="N132" t="s">
        <v>46</v>
      </c>
      <c r="O132" s="30">
        <v>0.06</v>
      </c>
      <c r="P132" t="s">
        <v>40</v>
      </c>
      <c r="Q132" t="s">
        <v>34</v>
      </c>
      <c r="R132" t="s">
        <v>28</v>
      </c>
      <c r="S132">
        <f t="shared" si="11"/>
        <v>30856.665599999997</v>
      </c>
      <c r="T132">
        <f t="shared" si="12"/>
        <v>32296.080000000002</v>
      </c>
      <c r="U132">
        <f t="shared" si="13"/>
        <v>-1439.4144000000051</v>
      </c>
      <c r="V132" t="str">
        <f t="shared" si="14"/>
        <v>Senior</v>
      </c>
    </row>
    <row r="133" spans="1:22" x14ac:dyDescent="0.35">
      <c r="A133" t="s">
        <v>276</v>
      </c>
      <c r="B133">
        <v>1048</v>
      </c>
      <c r="C133" s="1">
        <v>45214</v>
      </c>
      <c r="D133" s="1" t="str">
        <f t="shared" si="10"/>
        <v>Oct</v>
      </c>
      <c r="E133" t="s">
        <v>277</v>
      </c>
      <c r="F133">
        <v>58</v>
      </c>
      <c r="G133" t="s">
        <v>54</v>
      </c>
      <c r="H133" t="s">
        <v>32</v>
      </c>
      <c r="I133" t="s">
        <v>50</v>
      </c>
      <c r="J133">
        <v>42</v>
      </c>
      <c r="K133" s="4" t="s">
        <v>51</v>
      </c>
      <c r="L133">
        <v>3139.99</v>
      </c>
      <c r="M133">
        <v>3349.37</v>
      </c>
      <c r="N133" t="s">
        <v>25</v>
      </c>
      <c r="O133" s="30">
        <v>0.13</v>
      </c>
      <c r="P133" t="s">
        <v>47</v>
      </c>
      <c r="Q133" t="s">
        <v>27</v>
      </c>
      <c r="R133" t="s">
        <v>35</v>
      </c>
      <c r="S133">
        <f t="shared" si="11"/>
        <v>122385.9798</v>
      </c>
      <c r="T133">
        <f t="shared" si="12"/>
        <v>131879.57999999999</v>
      </c>
      <c r="U133">
        <f t="shared" si="13"/>
        <v>-9493.6001999999862</v>
      </c>
      <c r="V133" t="str">
        <f t="shared" si="14"/>
        <v>Senior</v>
      </c>
    </row>
    <row r="134" spans="1:22" x14ac:dyDescent="0.35">
      <c r="A134" t="s">
        <v>278</v>
      </c>
      <c r="B134">
        <v>1023</v>
      </c>
      <c r="C134" s="1">
        <v>45105</v>
      </c>
      <c r="D134" s="1" t="str">
        <f t="shared" si="10"/>
        <v>Jun</v>
      </c>
      <c r="E134" t="s">
        <v>60</v>
      </c>
      <c r="F134">
        <v>54</v>
      </c>
      <c r="G134" t="s">
        <v>31</v>
      </c>
      <c r="H134" t="s">
        <v>22</v>
      </c>
      <c r="I134" t="s">
        <v>44</v>
      </c>
      <c r="J134">
        <v>9</v>
      </c>
      <c r="K134" s="4" t="s">
        <v>45</v>
      </c>
      <c r="L134">
        <v>4155.46</v>
      </c>
      <c r="M134">
        <v>4273.6000000000004</v>
      </c>
      <c r="N134" t="s">
        <v>25</v>
      </c>
      <c r="O134" s="30">
        <v>0.25</v>
      </c>
      <c r="P134" t="s">
        <v>26</v>
      </c>
      <c r="Q134" t="s">
        <v>27</v>
      </c>
      <c r="R134" t="s">
        <v>41</v>
      </c>
      <c r="S134">
        <f t="shared" si="11"/>
        <v>28846.800000000003</v>
      </c>
      <c r="T134">
        <f t="shared" si="12"/>
        <v>37399.14</v>
      </c>
      <c r="U134">
        <f t="shared" si="13"/>
        <v>-8552.3399999999965</v>
      </c>
      <c r="V134" t="str">
        <f t="shared" si="14"/>
        <v>Senior</v>
      </c>
    </row>
    <row r="135" spans="1:22" x14ac:dyDescent="0.35">
      <c r="A135" t="s">
        <v>279</v>
      </c>
      <c r="B135">
        <v>1062</v>
      </c>
      <c r="C135" s="1">
        <v>45051</v>
      </c>
      <c r="D135" s="1" t="str">
        <f t="shared" si="10"/>
        <v>May</v>
      </c>
      <c r="E135" t="s">
        <v>112</v>
      </c>
      <c r="F135">
        <v>23</v>
      </c>
      <c r="G135" t="s">
        <v>100</v>
      </c>
      <c r="H135" t="s">
        <v>32</v>
      </c>
      <c r="I135" t="s">
        <v>44</v>
      </c>
      <c r="J135">
        <v>26</v>
      </c>
      <c r="K135" s="4" t="s">
        <v>45</v>
      </c>
      <c r="L135">
        <v>992.17</v>
      </c>
      <c r="M135">
        <v>1263.49</v>
      </c>
      <c r="N135" t="s">
        <v>25</v>
      </c>
      <c r="O135" s="30">
        <v>0.25</v>
      </c>
      <c r="P135" t="s">
        <v>40</v>
      </c>
      <c r="Q135" t="s">
        <v>34</v>
      </c>
      <c r="R135" t="s">
        <v>28</v>
      </c>
      <c r="S135">
        <f t="shared" si="11"/>
        <v>24638.055</v>
      </c>
      <c r="T135">
        <f t="shared" si="12"/>
        <v>25796.42</v>
      </c>
      <c r="U135">
        <f t="shared" si="13"/>
        <v>-1158.364999999998</v>
      </c>
      <c r="V135" t="str">
        <f t="shared" si="14"/>
        <v>Young</v>
      </c>
    </row>
    <row r="136" spans="1:22" x14ac:dyDescent="0.35">
      <c r="A136" t="s">
        <v>280</v>
      </c>
      <c r="B136">
        <v>1088</v>
      </c>
      <c r="C136" s="1">
        <v>45279</v>
      </c>
      <c r="D136" s="1" t="str">
        <f t="shared" si="10"/>
        <v>Dec</v>
      </c>
      <c r="E136" t="s">
        <v>121</v>
      </c>
      <c r="F136">
        <v>43</v>
      </c>
      <c r="G136" t="s">
        <v>100</v>
      </c>
      <c r="H136" t="s">
        <v>38</v>
      </c>
      <c r="I136" t="s">
        <v>23</v>
      </c>
      <c r="J136">
        <v>20</v>
      </c>
      <c r="K136" s="4" t="s">
        <v>45</v>
      </c>
      <c r="L136">
        <v>4590.24</v>
      </c>
      <c r="M136">
        <v>5088.28</v>
      </c>
      <c r="N136" t="s">
        <v>46</v>
      </c>
      <c r="O136" s="30">
        <v>0.16</v>
      </c>
      <c r="P136" t="s">
        <v>40</v>
      </c>
      <c r="Q136" t="s">
        <v>34</v>
      </c>
      <c r="R136" t="s">
        <v>41</v>
      </c>
      <c r="S136">
        <f t="shared" si="11"/>
        <v>85483.103999999992</v>
      </c>
      <c r="T136">
        <f t="shared" si="12"/>
        <v>91804.799999999988</v>
      </c>
      <c r="U136">
        <f t="shared" si="13"/>
        <v>-6321.6959999999963</v>
      </c>
      <c r="V136" t="str">
        <f t="shared" si="14"/>
        <v>Senior</v>
      </c>
    </row>
    <row r="137" spans="1:22" x14ac:dyDescent="0.35">
      <c r="A137" t="s">
        <v>281</v>
      </c>
      <c r="B137">
        <v>1037</v>
      </c>
      <c r="C137" s="1">
        <v>44949</v>
      </c>
      <c r="D137" s="1" t="str">
        <f t="shared" si="10"/>
        <v>Jan</v>
      </c>
      <c r="E137" t="s">
        <v>282</v>
      </c>
      <c r="F137">
        <v>51</v>
      </c>
      <c r="G137" t="s">
        <v>65</v>
      </c>
      <c r="H137" t="s">
        <v>38</v>
      </c>
      <c r="I137" t="s">
        <v>23</v>
      </c>
      <c r="J137">
        <v>40</v>
      </c>
      <c r="K137" s="4" t="s">
        <v>45</v>
      </c>
      <c r="L137">
        <v>2790.11</v>
      </c>
      <c r="M137">
        <v>4192.37</v>
      </c>
      <c r="N137" t="s">
        <v>25</v>
      </c>
      <c r="O137" s="30">
        <v>0.26</v>
      </c>
      <c r="P137" t="s">
        <v>40</v>
      </c>
      <c r="Q137" t="s">
        <v>27</v>
      </c>
      <c r="R137" t="s">
        <v>28</v>
      </c>
      <c r="S137">
        <f t="shared" si="11"/>
        <v>124094.15199999999</v>
      </c>
      <c r="T137">
        <f t="shared" si="12"/>
        <v>111604.40000000001</v>
      </c>
      <c r="U137">
        <f t="shared" si="13"/>
        <v>12489.751999999979</v>
      </c>
      <c r="V137" t="str">
        <f t="shared" si="14"/>
        <v>Senior</v>
      </c>
    </row>
    <row r="138" spans="1:22" x14ac:dyDescent="0.35">
      <c r="A138" t="s">
        <v>283</v>
      </c>
      <c r="B138">
        <v>1099</v>
      </c>
      <c r="C138" s="1">
        <v>44989</v>
      </c>
      <c r="D138" s="1" t="str">
        <f t="shared" si="10"/>
        <v>Mar</v>
      </c>
      <c r="E138" t="s">
        <v>119</v>
      </c>
      <c r="F138">
        <v>62</v>
      </c>
      <c r="G138" t="s">
        <v>65</v>
      </c>
      <c r="H138" t="s">
        <v>22</v>
      </c>
      <c r="I138" t="s">
        <v>50</v>
      </c>
      <c r="J138">
        <v>10</v>
      </c>
      <c r="K138" s="4" t="s">
        <v>24</v>
      </c>
      <c r="L138">
        <v>1531.2</v>
      </c>
      <c r="M138">
        <v>1955.56</v>
      </c>
      <c r="N138" t="s">
        <v>46</v>
      </c>
      <c r="O138" s="30">
        <v>0</v>
      </c>
      <c r="P138" t="s">
        <v>47</v>
      </c>
      <c r="Q138" t="s">
        <v>34</v>
      </c>
      <c r="R138" t="s">
        <v>41</v>
      </c>
      <c r="S138">
        <f t="shared" si="11"/>
        <v>19555.599999999999</v>
      </c>
      <c r="T138">
        <f t="shared" si="12"/>
        <v>15312</v>
      </c>
      <c r="U138">
        <f t="shared" si="13"/>
        <v>4243.5999999999985</v>
      </c>
      <c r="V138" t="str">
        <f t="shared" si="14"/>
        <v>Senior</v>
      </c>
    </row>
    <row r="139" spans="1:22" x14ac:dyDescent="0.35">
      <c r="A139" t="s">
        <v>284</v>
      </c>
      <c r="B139">
        <v>1044</v>
      </c>
      <c r="C139" s="1">
        <v>45069</v>
      </c>
      <c r="D139" s="1" t="str">
        <f t="shared" si="10"/>
        <v>May</v>
      </c>
      <c r="E139" t="s">
        <v>60</v>
      </c>
      <c r="F139">
        <v>23</v>
      </c>
      <c r="G139" t="s">
        <v>31</v>
      </c>
      <c r="H139" t="s">
        <v>54</v>
      </c>
      <c r="I139" t="s">
        <v>23</v>
      </c>
      <c r="J139">
        <v>19</v>
      </c>
      <c r="K139" s="4" t="s">
        <v>39</v>
      </c>
      <c r="L139">
        <v>2182.75</v>
      </c>
      <c r="M139">
        <v>2504.0300000000002</v>
      </c>
      <c r="N139" t="s">
        <v>46</v>
      </c>
      <c r="O139" s="30">
        <v>0.01</v>
      </c>
      <c r="P139" t="s">
        <v>40</v>
      </c>
      <c r="Q139" t="s">
        <v>34</v>
      </c>
      <c r="R139" t="s">
        <v>41</v>
      </c>
      <c r="S139">
        <f t="shared" si="11"/>
        <v>47100.804300000003</v>
      </c>
      <c r="T139">
        <f t="shared" si="12"/>
        <v>41472.25</v>
      </c>
      <c r="U139">
        <f t="shared" si="13"/>
        <v>5628.5543000000034</v>
      </c>
      <c r="V139" t="str">
        <f t="shared" si="14"/>
        <v>Young</v>
      </c>
    </row>
    <row r="140" spans="1:22" x14ac:dyDescent="0.35">
      <c r="A140" t="s">
        <v>285</v>
      </c>
      <c r="B140">
        <v>1086</v>
      </c>
      <c r="C140" s="1">
        <v>45079</v>
      </c>
      <c r="D140" s="1" t="str">
        <f t="shared" si="10"/>
        <v>Jun</v>
      </c>
      <c r="E140" t="s">
        <v>106</v>
      </c>
      <c r="F140">
        <v>54</v>
      </c>
      <c r="G140" t="s">
        <v>100</v>
      </c>
      <c r="H140" t="s">
        <v>54</v>
      </c>
      <c r="I140" t="s">
        <v>23</v>
      </c>
      <c r="J140">
        <v>3</v>
      </c>
      <c r="K140" s="4" t="s">
        <v>51</v>
      </c>
      <c r="L140">
        <v>1595.35</v>
      </c>
      <c r="M140">
        <v>1625.71</v>
      </c>
      <c r="N140" t="s">
        <v>46</v>
      </c>
      <c r="O140" s="30">
        <v>0.27</v>
      </c>
      <c r="P140" t="s">
        <v>26</v>
      </c>
      <c r="Q140" t="s">
        <v>27</v>
      </c>
      <c r="R140" t="s">
        <v>28</v>
      </c>
      <c r="S140">
        <f t="shared" si="11"/>
        <v>3560.3049000000001</v>
      </c>
      <c r="T140">
        <f t="shared" si="12"/>
        <v>4786.0499999999993</v>
      </c>
      <c r="U140">
        <f t="shared" si="13"/>
        <v>-1225.7450999999992</v>
      </c>
      <c r="V140" t="str">
        <f t="shared" si="14"/>
        <v>Senior</v>
      </c>
    </row>
    <row r="141" spans="1:22" x14ac:dyDescent="0.35">
      <c r="A141" t="s">
        <v>286</v>
      </c>
      <c r="B141">
        <v>1091</v>
      </c>
      <c r="C141" s="1">
        <v>45071</v>
      </c>
      <c r="D141" s="1" t="str">
        <f t="shared" si="10"/>
        <v>May</v>
      </c>
      <c r="E141" t="s">
        <v>287</v>
      </c>
      <c r="F141">
        <v>50</v>
      </c>
      <c r="G141" t="s">
        <v>31</v>
      </c>
      <c r="H141" t="s">
        <v>32</v>
      </c>
      <c r="I141" t="s">
        <v>44</v>
      </c>
      <c r="J141">
        <v>24</v>
      </c>
      <c r="K141" s="4" t="s">
        <v>45</v>
      </c>
      <c r="L141">
        <v>3639.3</v>
      </c>
      <c r="M141">
        <v>3750.63</v>
      </c>
      <c r="N141" t="s">
        <v>46</v>
      </c>
      <c r="O141" s="30">
        <v>0.23</v>
      </c>
      <c r="P141" t="s">
        <v>40</v>
      </c>
      <c r="Q141" t="s">
        <v>27</v>
      </c>
      <c r="R141" t="s">
        <v>35</v>
      </c>
      <c r="S141">
        <f t="shared" si="11"/>
        <v>69311.642399999997</v>
      </c>
      <c r="T141">
        <f t="shared" si="12"/>
        <v>87343.200000000012</v>
      </c>
      <c r="U141">
        <f t="shared" si="13"/>
        <v>-18031.557600000015</v>
      </c>
      <c r="V141" t="str">
        <f t="shared" si="14"/>
        <v>Senior</v>
      </c>
    </row>
    <row r="142" spans="1:22" x14ac:dyDescent="0.35">
      <c r="A142" t="s">
        <v>288</v>
      </c>
      <c r="B142">
        <v>1035</v>
      </c>
      <c r="C142" s="1">
        <v>45151</v>
      </c>
      <c r="D142" s="1" t="str">
        <f t="shared" si="10"/>
        <v>Aug</v>
      </c>
      <c r="E142" t="s">
        <v>289</v>
      </c>
      <c r="F142">
        <v>39</v>
      </c>
      <c r="G142" t="s">
        <v>65</v>
      </c>
      <c r="H142" t="s">
        <v>81</v>
      </c>
      <c r="I142" t="s">
        <v>33</v>
      </c>
      <c r="J142">
        <v>5</v>
      </c>
      <c r="K142" s="4" t="s">
        <v>45</v>
      </c>
      <c r="L142">
        <v>3991.69</v>
      </c>
      <c r="M142">
        <v>4454.97</v>
      </c>
      <c r="N142" t="s">
        <v>46</v>
      </c>
      <c r="O142" s="30">
        <v>0.14000000000000001</v>
      </c>
      <c r="P142" t="s">
        <v>47</v>
      </c>
      <c r="Q142" t="s">
        <v>34</v>
      </c>
      <c r="R142" t="s">
        <v>41</v>
      </c>
      <c r="S142">
        <f t="shared" si="11"/>
        <v>19156.371000000003</v>
      </c>
      <c r="T142">
        <f t="shared" si="12"/>
        <v>19958.45</v>
      </c>
      <c r="U142">
        <f t="shared" si="13"/>
        <v>-802.0789999999979</v>
      </c>
      <c r="V142" t="str">
        <f t="shared" si="14"/>
        <v>Adult</v>
      </c>
    </row>
    <row r="143" spans="1:22" x14ac:dyDescent="0.35">
      <c r="A143" t="s">
        <v>290</v>
      </c>
      <c r="B143">
        <v>1065</v>
      </c>
      <c r="C143" s="1">
        <v>45235</v>
      </c>
      <c r="D143" s="1" t="str">
        <f t="shared" si="10"/>
        <v>Nov</v>
      </c>
      <c r="E143" t="s">
        <v>95</v>
      </c>
      <c r="F143">
        <v>38</v>
      </c>
      <c r="G143" t="s">
        <v>65</v>
      </c>
      <c r="H143" t="s">
        <v>32</v>
      </c>
      <c r="I143" t="s">
        <v>23</v>
      </c>
      <c r="J143">
        <v>3</v>
      </c>
      <c r="K143" s="4" t="s">
        <v>24</v>
      </c>
      <c r="L143">
        <v>4173.04</v>
      </c>
      <c r="M143">
        <v>4362.4399999999996</v>
      </c>
      <c r="N143" t="s">
        <v>46</v>
      </c>
      <c r="O143" s="30">
        <v>0.23</v>
      </c>
      <c r="P143" t="s">
        <v>40</v>
      </c>
      <c r="Q143" t="s">
        <v>34</v>
      </c>
      <c r="R143" t="s">
        <v>35</v>
      </c>
      <c r="S143">
        <f t="shared" si="11"/>
        <v>10077.2364</v>
      </c>
      <c r="T143">
        <f t="shared" si="12"/>
        <v>12519.119999999999</v>
      </c>
      <c r="U143">
        <f t="shared" si="13"/>
        <v>-2441.8835999999992</v>
      </c>
      <c r="V143" t="str">
        <f t="shared" si="14"/>
        <v>Adult</v>
      </c>
    </row>
    <row r="144" spans="1:22" x14ac:dyDescent="0.35">
      <c r="A144" t="s">
        <v>291</v>
      </c>
      <c r="B144">
        <v>1099</v>
      </c>
      <c r="C144" s="1">
        <v>45030</v>
      </c>
      <c r="D144" s="1" t="str">
        <f t="shared" si="10"/>
        <v>Apr</v>
      </c>
      <c r="E144" t="s">
        <v>292</v>
      </c>
      <c r="F144">
        <v>23</v>
      </c>
      <c r="G144" t="s">
        <v>100</v>
      </c>
      <c r="H144" t="s">
        <v>22</v>
      </c>
      <c r="I144" t="s">
        <v>33</v>
      </c>
      <c r="J144">
        <v>27</v>
      </c>
      <c r="K144" s="4" t="s">
        <v>39</v>
      </c>
      <c r="L144">
        <v>4929.55</v>
      </c>
      <c r="M144">
        <v>6990.33</v>
      </c>
      <c r="N144" t="s">
        <v>25</v>
      </c>
      <c r="O144" s="30">
        <v>0.28999999999999998</v>
      </c>
      <c r="P144" t="s">
        <v>47</v>
      </c>
      <c r="Q144" t="s">
        <v>34</v>
      </c>
      <c r="R144" t="s">
        <v>35</v>
      </c>
      <c r="S144">
        <f t="shared" si="11"/>
        <v>134004.62609999999</v>
      </c>
      <c r="T144">
        <f t="shared" si="12"/>
        <v>133097.85</v>
      </c>
      <c r="U144">
        <f t="shared" si="13"/>
        <v>906.77609999998822</v>
      </c>
      <c r="V144" t="str">
        <f t="shared" si="14"/>
        <v>Young</v>
      </c>
    </row>
    <row r="145" spans="1:22" x14ac:dyDescent="0.35">
      <c r="A145" t="s">
        <v>293</v>
      </c>
      <c r="B145">
        <v>1047</v>
      </c>
      <c r="C145" s="1">
        <v>45030</v>
      </c>
      <c r="D145" s="1" t="str">
        <f t="shared" si="10"/>
        <v>Apr</v>
      </c>
      <c r="E145" t="s">
        <v>294</v>
      </c>
      <c r="F145">
        <v>23</v>
      </c>
      <c r="G145" t="s">
        <v>21</v>
      </c>
      <c r="H145" t="s">
        <v>22</v>
      </c>
      <c r="I145" t="s">
        <v>23</v>
      </c>
      <c r="J145">
        <v>16</v>
      </c>
      <c r="K145" s="4" t="s">
        <v>45</v>
      </c>
      <c r="L145">
        <v>3966.86</v>
      </c>
      <c r="M145">
        <v>5321.04</v>
      </c>
      <c r="N145" t="s">
        <v>25</v>
      </c>
      <c r="O145" s="30">
        <v>0.23</v>
      </c>
      <c r="P145" t="s">
        <v>47</v>
      </c>
      <c r="Q145" t="s">
        <v>27</v>
      </c>
      <c r="R145" t="s">
        <v>28</v>
      </c>
      <c r="S145">
        <f t="shared" si="11"/>
        <v>65555.212799999994</v>
      </c>
      <c r="T145">
        <f t="shared" si="12"/>
        <v>63469.760000000002</v>
      </c>
      <c r="U145">
        <f t="shared" si="13"/>
        <v>2085.4527999999918</v>
      </c>
      <c r="V145" t="str">
        <f t="shared" si="14"/>
        <v>Young</v>
      </c>
    </row>
    <row r="146" spans="1:22" x14ac:dyDescent="0.35">
      <c r="A146" t="s">
        <v>295</v>
      </c>
      <c r="B146">
        <v>1078</v>
      </c>
      <c r="C146" s="1">
        <v>44965</v>
      </c>
      <c r="D146" s="1" t="str">
        <f t="shared" si="10"/>
        <v>Feb</v>
      </c>
      <c r="E146" t="s">
        <v>296</v>
      </c>
      <c r="F146">
        <v>21</v>
      </c>
      <c r="G146" t="s">
        <v>54</v>
      </c>
      <c r="H146" t="s">
        <v>22</v>
      </c>
      <c r="I146" t="s">
        <v>23</v>
      </c>
      <c r="J146">
        <v>49</v>
      </c>
      <c r="K146" s="4" t="s">
        <v>24</v>
      </c>
      <c r="L146">
        <v>3026.85</v>
      </c>
      <c r="M146">
        <v>5183.58</v>
      </c>
      <c r="N146" t="s">
        <v>25</v>
      </c>
      <c r="O146" s="30">
        <v>0.25</v>
      </c>
      <c r="P146" t="s">
        <v>26</v>
      </c>
      <c r="Q146" t="s">
        <v>34</v>
      </c>
      <c r="R146" t="s">
        <v>28</v>
      </c>
      <c r="S146">
        <f t="shared" si="11"/>
        <v>190496.565</v>
      </c>
      <c r="T146">
        <f t="shared" si="12"/>
        <v>148315.65</v>
      </c>
      <c r="U146">
        <f t="shared" si="13"/>
        <v>42180.915000000008</v>
      </c>
      <c r="V146" t="str">
        <f t="shared" si="14"/>
        <v>Young</v>
      </c>
    </row>
    <row r="147" spans="1:22" x14ac:dyDescent="0.35">
      <c r="A147" t="s">
        <v>297</v>
      </c>
      <c r="B147">
        <v>1003</v>
      </c>
      <c r="C147" s="1">
        <v>45124</v>
      </c>
      <c r="D147" s="1" t="str">
        <f t="shared" si="10"/>
        <v>Jul</v>
      </c>
      <c r="E147" t="s">
        <v>298</v>
      </c>
      <c r="F147">
        <v>47</v>
      </c>
      <c r="G147" t="s">
        <v>65</v>
      </c>
      <c r="H147" t="s">
        <v>22</v>
      </c>
      <c r="I147" t="s">
        <v>50</v>
      </c>
      <c r="J147">
        <v>15</v>
      </c>
      <c r="K147" s="4" t="s">
        <v>51</v>
      </c>
      <c r="L147">
        <v>1729.14</v>
      </c>
      <c r="M147">
        <v>1870.88</v>
      </c>
      <c r="N147" t="s">
        <v>25</v>
      </c>
      <c r="O147" s="30">
        <v>0.23</v>
      </c>
      <c r="P147" t="s">
        <v>26</v>
      </c>
      <c r="Q147" t="s">
        <v>34</v>
      </c>
      <c r="R147" t="s">
        <v>28</v>
      </c>
      <c r="S147">
        <f t="shared" si="11"/>
        <v>21608.664000000001</v>
      </c>
      <c r="T147">
        <f t="shared" si="12"/>
        <v>25937.100000000002</v>
      </c>
      <c r="U147">
        <f t="shared" si="13"/>
        <v>-4328.4360000000015</v>
      </c>
      <c r="V147" t="str">
        <f t="shared" si="14"/>
        <v>Senior</v>
      </c>
    </row>
    <row r="148" spans="1:22" x14ac:dyDescent="0.35">
      <c r="A148" t="s">
        <v>299</v>
      </c>
      <c r="B148">
        <v>1001</v>
      </c>
      <c r="C148" s="1">
        <v>45060</v>
      </c>
      <c r="D148" s="1" t="str">
        <f t="shared" si="10"/>
        <v>May</v>
      </c>
      <c r="E148" t="s">
        <v>294</v>
      </c>
      <c r="F148">
        <v>28</v>
      </c>
      <c r="G148" t="s">
        <v>65</v>
      </c>
      <c r="H148" t="s">
        <v>22</v>
      </c>
      <c r="I148" t="s">
        <v>50</v>
      </c>
      <c r="J148">
        <v>35</v>
      </c>
      <c r="K148" s="4" t="s">
        <v>51</v>
      </c>
      <c r="L148">
        <v>2745.75</v>
      </c>
      <c r="M148">
        <v>3244.76</v>
      </c>
      <c r="N148" t="s">
        <v>46</v>
      </c>
      <c r="O148" s="30">
        <v>0.05</v>
      </c>
      <c r="P148" t="s">
        <v>40</v>
      </c>
      <c r="Q148" t="s">
        <v>27</v>
      </c>
      <c r="R148" t="s">
        <v>41</v>
      </c>
      <c r="S148">
        <f t="shared" si="11"/>
        <v>107888.27</v>
      </c>
      <c r="T148">
        <f t="shared" si="12"/>
        <v>96101.25</v>
      </c>
      <c r="U148">
        <f t="shared" si="13"/>
        <v>11787.020000000004</v>
      </c>
      <c r="V148" t="str">
        <f t="shared" si="14"/>
        <v>Adult</v>
      </c>
    </row>
    <row r="149" spans="1:22" x14ac:dyDescent="0.35">
      <c r="A149" t="s">
        <v>300</v>
      </c>
      <c r="B149">
        <v>1005</v>
      </c>
      <c r="C149" s="1">
        <v>44993</v>
      </c>
      <c r="D149" s="1" t="str">
        <f t="shared" si="10"/>
        <v>Mar</v>
      </c>
      <c r="E149" t="s">
        <v>194</v>
      </c>
      <c r="F149">
        <v>47</v>
      </c>
      <c r="G149" t="s">
        <v>21</v>
      </c>
      <c r="H149" t="s">
        <v>38</v>
      </c>
      <c r="I149" t="s">
        <v>50</v>
      </c>
      <c r="J149">
        <v>12</v>
      </c>
      <c r="K149" s="4" t="s">
        <v>45</v>
      </c>
      <c r="L149">
        <v>253.29</v>
      </c>
      <c r="M149">
        <v>683.78</v>
      </c>
      <c r="N149" t="s">
        <v>46</v>
      </c>
      <c r="O149" s="30">
        <v>0.25</v>
      </c>
      <c r="P149" t="s">
        <v>47</v>
      </c>
      <c r="Q149" t="s">
        <v>27</v>
      </c>
      <c r="R149" t="s">
        <v>28</v>
      </c>
      <c r="S149">
        <f t="shared" si="11"/>
        <v>6154.02</v>
      </c>
      <c r="T149">
        <f t="shared" si="12"/>
        <v>3039.48</v>
      </c>
      <c r="U149">
        <f t="shared" si="13"/>
        <v>3114.5400000000004</v>
      </c>
      <c r="V149" t="str">
        <f t="shared" si="14"/>
        <v>Senior</v>
      </c>
    </row>
    <row r="150" spans="1:22" x14ac:dyDescent="0.35">
      <c r="A150" t="s">
        <v>301</v>
      </c>
      <c r="B150">
        <v>1090</v>
      </c>
      <c r="C150" s="1">
        <v>45105</v>
      </c>
      <c r="D150" s="1" t="str">
        <f t="shared" si="10"/>
        <v>Jun</v>
      </c>
      <c r="E150" t="s">
        <v>302</v>
      </c>
      <c r="F150">
        <v>48</v>
      </c>
      <c r="G150" t="s">
        <v>21</v>
      </c>
      <c r="H150" t="s">
        <v>54</v>
      </c>
      <c r="I150" t="s">
        <v>33</v>
      </c>
      <c r="J150">
        <v>41</v>
      </c>
      <c r="K150" s="4" t="s">
        <v>45</v>
      </c>
      <c r="L150">
        <v>3736.88</v>
      </c>
      <c r="M150">
        <v>3946.77</v>
      </c>
      <c r="N150" t="s">
        <v>25</v>
      </c>
      <c r="O150" s="30">
        <v>0.06</v>
      </c>
      <c r="P150" t="s">
        <v>47</v>
      </c>
      <c r="Q150" t="s">
        <v>34</v>
      </c>
      <c r="R150" t="s">
        <v>28</v>
      </c>
      <c r="S150">
        <f t="shared" si="11"/>
        <v>152108.51579999999</v>
      </c>
      <c r="T150">
        <f t="shared" si="12"/>
        <v>153212.08000000002</v>
      </c>
      <c r="U150">
        <f t="shared" si="13"/>
        <v>-1103.5642000000225</v>
      </c>
      <c r="V150" t="str">
        <f t="shared" si="14"/>
        <v>Senior</v>
      </c>
    </row>
    <row r="151" spans="1:22" x14ac:dyDescent="0.35">
      <c r="A151" t="s">
        <v>303</v>
      </c>
      <c r="B151">
        <v>1014</v>
      </c>
      <c r="C151" s="1">
        <v>44968</v>
      </c>
      <c r="D151" s="1" t="str">
        <f t="shared" si="10"/>
        <v>Feb</v>
      </c>
      <c r="E151" t="s">
        <v>139</v>
      </c>
      <c r="F151">
        <v>41</v>
      </c>
      <c r="G151" t="s">
        <v>31</v>
      </c>
      <c r="H151" t="s">
        <v>22</v>
      </c>
      <c r="I151" t="s">
        <v>44</v>
      </c>
      <c r="J151">
        <v>44</v>
      </c>
      <c r="K151" s="4" t="s">
        <v>39</v>
      </c>
      <c r="L151">
        <v>2257.48</v>
      </c>
      <c r="M151">
        <v>3747.81</v>
      </c>
      <c r="N151" t="s">
        <v>25</v>
      </c>
      <c r="O151" s="30">
        <v>0.27</v>
      </c>
      <c r="P151" t="s">
        <v>26</v>
      </c>
      <c r="Q151" t="s">
        <v>27</v>
      </c>
      <c r="R151" t="s">
        <v>41</v>
      </c>
      <c r="S151">
        <f t="shared" si="11"/>
        <v>120379.65719999999</v>
      </c>
      <c r="T151">
        <f t="shared" si="12"/>
        <v>99329.12</v>
      </c>
      <c r="U151">
        <f t="shared" si="13"/>
        <v>21050.537199999992</v>
      </c>
      <c r="V151" t="str">
        <f t="shared" si="14"/>
        <v>Senior</v>
      </c>
    </row>
    <row r="152" spans="1:22" x14ac:dyDescent="0.35">
      <c r="A152" t="s">
        <v>304</v>
      </c>
      <c r="B152">
        <v>1027</v>
      </c>
      <c r="C152" s="1">
        <v>44941</v>
      </c>
      <c r="D152" s="1" t="str">
        <f t="shared" si="10"/>
        <v>Jan</v>
      </c>
      <c r="E152" t="s">
        <v>305</v>
      </c>
      <c r="F152">
        <v>26</v>
      </c>
      <c r="G152" t="s">
        <v>31</v>
      </c>
      <c r="H152" t="s">
        <v>81</v>
      </c>
      <c r="I152" t="s">
        <v>23</v>
      </c>
      <c r="J152">
        <v>26</v>
      </c>
      <c r="K152" s="4" t="s">
        <v>39</v>
      </c>
      <c r="L152">
        <v>149.11000000000001</v>
      </c>
      <c r="M152">
        <v>477.67</v>
      </c>
      <c r="N152" t="s">
        <v>25</v>
      </c>
      <c r="O152" s="30">
        <v>0.14000000000000001</v>
      </c>
      <c r="P152" t="s">
        <v>26</v>
      </c>
      <c r="Q152" t="s">
        <v>27</v>
      </c>
      <c r="R152" t="s">
        <v>41</v>
      </c>
      <c r="S152">
        <f t="shared" si="11"/>
        <v>10680.7012</v>
      </c>
      <c r="T152">
        <f t="shared" si="12"/>
        <v>3876.8600000000006</v>
      </c>
      <c r="U152">
        <f t="shared" si="13"/>
        <v>6803.8411999999989</v>
      </c>
      <c r="V152" t="str">
        <f t="shared" si="14"/>
        <v>Adult</v>
      </c>
    </row>
    <row r="153" spans="1:22" x14ac:dyDescent="0.35">
      <c r="A153" t="s">
        <v>306</v>
      </c>
      <c r="B153">
        <v>1009</v>
      </c>
      <c r="C153" s="1">
        <v>45037</v>
      </c>
      <c r="D153" s="1" t="str">
        <f t="shared" si="10"/>
        <v>Apr</v>
      </c>
      <c r="E153" t="s">
        <v>307</v>
      </c>
      <c r="F153">
        <v>20</v>
      </c>
      <c r="G153" t="s">
        <v>54</v>
      </c>
      <c r="H153" t="s">
        <v>81</v>
      </c>
      <c r="I153" t="s">
        <v>23</v>
      </c>
      <c r="J153">
        <v>47</v>
      </c>
      <c r="K153" s="4" t="s">
        <v>45</v>
      </c>
      <c r="L153">
        <v>359.41</v>
      </c>
      <c r="M153">
        <v>733</v>
      </c>
      <c r="N153" t="s">
        <v>25</v>
      </c>
      <c r="O153" s="30">
        <v>0.2</v>
      </c>
      <c r="P153" t="s">
        <v>40</v>
      </c>
      <c r="Q153" t="s">
        <v>34</v>
      </c>
      <c r="R153" t="s">
        <v>28</v>
      </c>
      <c r="S153">
        <f t="shared" si="11"/>
        <v>27560.800000000003</v>
      </c>
      <c r="T153">
        <f t="shared" si="12"/>
        <v>16892.27</v>
      </c>
      <c r="U153">
        <f t="shared" si="13"/>
        <v>10668.530000000002</v>
      </c>
      <c r="V153" t="str">
        <f t="shared" si="14"/>
        <v>Young</v>
      </c>
    </row>
    <row r="154" spans="1:22" x14ac:dyDescent="0.35">
      <c r="A154" t="s">
        <v>308</v>
      </c>
      <c r="B154">
        <v>1079</v>
      </c>
      <c r="C154" s="1">
        <v>45083</v>
      </c>
      <c r="D154" s="1" t="str">
        <f t="shared" si="10"/>
        <v>Jun</v>
      </c>
      <c r="E154" t="s">
        <v>309</v>
      </c>
      <c r="F154">
        <v>48</v>
      </c>
      <c r="G154" t="s">
        <v>54</v>
      </c>
      <c r="H154" t="s">
        <v>81</v>
      </c>
      <c r="I154" t="s">
        <v>23</v>
      </c>
      <c r="J154">
        <v>34</v>
      </c>
      <c r="K154" s="4" t="s">
        <v>24</v>
      </c>
      <c r="L154">
        <v>1967.96</v>
      </c>
      <c r="M154">
        <v>1993.4</v>
      </c>
      <c r="N154" t="s">
        <v>25</v>
      </c>
      <c r="O154" s="30">
        <v>0.15</v>
      </c>
      <c r="P154" t="s">
        <v>47</v>
      </c>
      <c r="Q154" t="s">
        <v>27</v>
      </c>
      <c r="R154" t="s">
        <v>28</v>
      </c>
      <c r="S154">
        <f t="shared" si="11"/>
        <v>57609.26</v>
      </c>
      <c r="T154">
        <f t="shared" si="12"/>
        <v>66910.64</v>
      </c>
      <c r="U154">
        <f t="shared" si="13"/>
        <v>-9301.3799999999974</v>
      </c>
      <c r="V154" t="str">
        <f t="shared" si="14"/>
        <v>Senior</v>
      </c>
    </row>
    <row r="155" spans="1:22" x14ac:dyDescent="0.35">
      <c r="A155" t="s">
        <v>310</v>
      </c>
      <c r="B155">
        <v>1015</v>
      </c>
      <c r="C155" s="1">
        <v>45215</v>
      </c>
      <c r="D155" s="1" t="str">
        <f t="shared" si="10"/>
        <v>Oct</v>
      </c>
      <c r="E155" t="s">
        <v>129</v>
      </c>
      <c r="F155">
        <v>57</v>
      </c>
      <c r="G155" t="s">
        <v>100</v>
      </c>
      <c r="H155" t="s">
        <v>81</v>
      </c>
      <c r="I155" t="s">
        <v>33</v>
      </c>
      <c r="J155">
        <v>23</v>
      </c>
      <c r="K155" s="4" t="s">
        <v>39</v>
      </c>
      <c r="L155">
        <v>2937.94</v>
      </c>
      <c r="M155">
        <v>3007.53</v>
      </c>
      <c r="N155" t="s">
        <v>25</v>
      </c>
      <c r="O155" s="30">
        <v>0.03</v>
      </c>
      <c r="P155" t="s">
        <v>26</v>
      </c>
      <c r="Q155" t="s">
        <v>27</v>
      </c>
      <c r="R155" t="s">
        <v>28</v>
      </c>
      <c r="S155">
        <f t="shared" si="11"/>
        <v>67097.994300000006</v>
      </c>
      <c r="T155">
        <f t="shared" si="12"/>
        <v>67572.62</v>
      </c>
      <c r="U155">
        <f t="shared" si="13"/>
        <v>-474.62569999998959</v>
      </c>
      <c r="V155" t="str">
        <f t="shared" si="14"/>
        <v>Senior</v>
      </c>
    </row>
    <row r="156" spans="1:22" x14ac:dyDescent="0.35">
      <c r="A156" t="s">
        <v>311</v>
      </c>
      <c r="B156">
        <v>1090</v>
      </c>
      <c r="C156" s="1">
        <v>45157</v>
      </c>
      <c r="D156" s="1" t="str">
        <f t="shared" si="10"/>
        <v>Aug</v>
      </c>
      <c r="E156" t="s">
        <v>312</v>
      </c>
      <c r="F156">
        <v>54</v>
      </c>
      <c r="G156" t="s">
        <v>31</v>
      </c>
      <c r="H156" t="s">
        <v>38</v>
      </c>
      <c r="I156" t="s">
        <v>50</v>
      </c>
      <c r="J156">
        <v>31</v>
      </c>
      <c r="K156" s="4" t="s">
        <v>45</v>
      </c>
      <c r="L156">
        <v>2347.81</v>
      </c>
      <c r="M156">
        <v>2668.02</v>
      </c>
      <c r="N156" t="s">
        <v>25</v>
      </c>
      <c r="O156" s="30">
        <v>0.09</v>
      </c>
      <c r="P156" t="s">
        <v>40</v>
      </c>
      <c r="Q156" t="s">
        <v>34</v>
      </c>
      <c r="R156" t="s">
        <v>28</v>
      </c>
      <c r="S156">
        <f t="shared" si="11"/>
        <v>75264.844199999992</v>
      </c>
      <c r="T156">
        <f t="shared" si="12"/>
        <v>72782.11</v>
      </c>
      <c r="U156">
        <f t="shared" si="13"/>
        <v>2482.7341999999917</v>
      </c>
      <c r="V156" t="str">
        <f t="shared" si="14"/>
        <v>Senior</v>
      </c>
    </row>
    <row r="157" spans="1:22" x14ac:dyDescent="0.35">
      <c r="A157" t="s">
        <v>313</v>
      </c>
      <c r="B157">
        <v>1042</v>
      </c>
      <c r="C157" s="1">
        <v>45083</v>
      </c>
      <c r="D157" s="1" t="str">
        <f t="shared" si="10"/>
        <v>Jun</v>
      </c>
      <c r="E157" t="s">
        <v>314</v>
      </c>
      <c r="F157">
        <v>53</v>
      </c>
      <c r="G157" t="s">
        <v>65</v>
      </c>
      <c r="H157" t="s">
        <v>81</v>
      </c>
      <c r="I157" t="s">
        <v>44</v>
      </c>
      <c r="J157">
        <v>20</v>
      </c>
      <c r="K157" s="4" t="s">
        <v>39</v>
      </c>
      <c r="L157">
        <v>3115.06</v>
      </c>
      <c r="M157">
        <v>3765.58</v>
      </c>
      <c r="N157" t="s">
        <v>25</v>
      </c>
      <c r="O157" s="30">
        <v>0.3</v>
      </c>
      <c r="P157" t="s">
        <v>47</v>
      </c>
      <c r="Q157" t="s">
        <v>27</v>
      </c>
      <c r="R157" t="s">
        <v>35</v>
      </c>
      <c r="S157">
        <f t="shared" si="11"/>
        <v>52718.12</v>
      </c>
      <c r="T157">
        <f t="shared" si="12"/>
        <v>62301.2</v>
      </c>
      <c r="U157">
        <f t="shared" si="13"/>
        <v>-9583.0799999999945</v>
      </c>
      <c r="V157" t="str">
        <f t="shared" si="14"/>
        <v>Senior</v>
      </c>
    </row>
    <row r="158" spans="1:22" x14ac:dyDescent="0.35">
      <c r="A158" t="s">
        <v>315</v>
      </c>
      <c r="B158">
        <v>1077</v>
      </c>
      <c r="C158" s="1">
        <v>44964</v>
      </c>
      <c r="D158" s="1" t="str">
        <f t="shared" si="10"/>
        <v>Feb</v>
      </c>
      <c r="E158" t="s">
        <v>316</v>
      </c>
      <c r="F158">
        <v>41</v>
      </c>
      <c r="G158" t="s">
        <v>31</v>
      </c>
      <c r="H158" t="s">
        <v>22</v>
      </c>
      <c r="I158" t="s">
        <v>33</v>
      </c>
      <c r="J158">
        <v>12</v>
      </c>
      <c r="K158" s="4" t="s">
        <v>45</v>
      </c>
      <c r="L158">
        <v>2427.46</v>
      </c>
      <c r="M158">
        <v>2743.09</v>
      </c>
      <c r="N158" t="s">
        <v>46</v>
      </c>
      <c r="O158" s="30">
        <v>0.28999999999999998</v>
      </c>
      <c r="P158" t="s">
        <v>47</v>
      </c>
      <c r="Q158" t="s">
        <v>34</v>
      </c>
      <c r="R158" t="s">
        <v>35</v>
      </c>
      <c r="S158">
        <f t="shared" si="11"/>
        <v>23371.126800000002</v>
      </c>
      <c r="T158">
        <f t="shared" si="12"/>
        <v>29129.52</v>
      </c>
      <c r="U158">
        <f t="shared" si="13"/>
        <v>-5758.3931999999986</v>
      </c>
      <c r="V158" t="str">
        <f t="shared" si="14"/>
        <v>Senior</v>
      </c>
    </row>
    <row r="159" spans="1:22" x14ac:dyDescent="0.35">
      <c r="A159" t="s">
        <v>317</v>
      </c>
      <c r="B159">
        <v>1051</v>
      </c>
      <c r="C159" s="1">
        <v>45023</v>
      </c>
      <c r="D159" s="1" t="str">
        <f t="shared" si="10"/>
        <v>Apr</v>
      </c>
      <c r="E159" t="s">
        <v>231</v>
      </c>
      <c r="F159">
        <v>48</v>
      </c>
      <c r="G159" t="s">
        <v>65</v>
      </c>
      <c r="H159" t="s">
        <v>32</v>
      </c>
      <c r="I159" t="s">
        <v>50</v>
      </c>
      <c r="J159">
        <v>23</v>
      </c>
      <c r="K159" s="4" t="s">
        <v>51</v>
      </c>
      <c r="L159">
        <v>3325.43</v>
      </c>
      <c r="M159">
        <v>3401.1</v>
      </c>
      <c r="N159" t="s">
        <v>46</v>
      </c>
      <c r="O159" s="30">
        <v>0.1</v>
      </c>
      <c r="P159" t="s">
        <v>26</v>
      </c>
      <c r="Q159" t="s">
        <v>34</v>
      </c>
      <c r="R159" t="s">
        <v>28</v>
      </c>
      <c r="S159">
        <f t="shared" si="11"/>
        <v>70402.77</v>
      </c>
      <c r="T159">
        <f t="shared" si="12"/>
        <v>76484.89</v>
      </c>
      <c r="U159">
        <f t="shared" si="13"/>
        <v>-6082.1199999999953</v>
      </c>
      <c r="V159" t="str">
        <f t="shared" si="14"/>
        <v>Senior</v>
      </c>
    </row>
    <row r="160" spans="1:22" x14ac:dyDescent="0.35">
      <c r="A160" t="s">
        <v>318</v>
      </c>
      <c r="B160">
        <v>1063</v>
      </c>
      <c r="C160" s="1">
        <v>45215</v>
      </c>
      <c r="D160" s="1" t="str">
        <f t="shared" si="10"/>
        <v>Oct</v>
      </c>
      <c r="E160" t="s">
        <v>97</v>
      </c>
      <c r="F160">
        <v>23</v>
      </c>
      <c r="G160" t="s">
        <v>21</v>
      </c>
      <c r="H160" t="s">
        <v>81</v>
      </c>
      <c r="I160" t="s">
        <v>33</v>
      </c>
      <c r="J160">
        <v>4</v>
      </c>
      <c r="K160" s="4" t="s">
        <v>45</v>
      </c>
      <c r="L160">
        <v>1134.67</v>
      </c>
      <c r="M160">
        <v>1201.3900000000001</v>
      </c>
      <c r="N160" t="s">
        <v>46</v>
      </c>
      <c r="O160" s="30">
        <v>0.3</v>
      </c>
      <c r="P160" t="s">
        <v>40</v>
      </c>
      <c r="Q160" t="s">
        <v>27</v>
      </c>
      <c r="R160" t="s">
        <v>35</v>
      </c>
      <c r="S160">
        <f t="shared" si="11"/>
        <v>3363.8920000000003</v>
      </c>
      <c r="T160">
        <f t="shared" si="12"/>
        <v>4538.68</v>
      </c>
      <c r="U160">
        <f t="shared" si="13"/>
        <v>-1174.788</v>
      </c>
      <c r="V160" t="str">
        <f t="shared" si="14"/>
        <v>Young</v>
      </c>
    </row>
    <row r="161" spans="1:22" x14ac:dyDescent="0.35">
      <c r="A161" t="s">
        <v>319</v>
      </c>
      <c r="B161">
        <v>1096</v>
      </c>
      <c r="C161" s="1">
        <v>45180</v>
      </c>
      <c r="D161" s="1" t="str">
        <f t="shared" si="10"/>
        <v>Sep</v>
      </c>
      <c r="E161" t="s">
        <v>135</v>
      </c>
      <c r="F161">
        <v>19</v>
      </c>
      <c r="G161" t="s">
        <v>31</v>
      </c>
      <c r="H161" t="s">
        <v>38</v>
      </c>
      <c r="I161" t="s">
        <v>44</v>
      </c>
      <c r="J161">
        <v>23</v>
      </c>
      <c r="K161" s="4" t="s">
        <v>51</v>
      </c>
      <c r="L161">
        <v>608.57000000000005</v>
      </c>
      <c r="M161">
        <v>1032.22</v>
      </c>
      <c r="N161" t="s">
        <v>46</v>
      </c>
      <c r="O161" s="30">
        <v>0.25</v>
      </c>
      <c r="P161" t="s">
        <v>26</v>
      </c>
      <c r="Q161" t="s">
        <v>27</v>
      </c>
      <c r="R161" t="s">
        <v>41</v>
      </c>
      <c r="S161">
        <f t="shared" si="11"/>
        <v>17805.795000000002</v>
      </c>
      <c r="T161">
        <f t="shared" si="12"/>
        <v>13997.11</v>
      </c>
      <c r="U161">
        <f t="shared" si="13"/>
        <v>3808.6850000000013</v>
      </c>
      <c r="V161" t="str">
        <f t="shared" si="14"/>
        <v>Young</v>
      </c>
    </row>
    <row r="162" spans="1:22" x14ac:dyDescent="0.35">
      <c r="A162" t="s">
        <v>320</v>
      </c>
      <c r="B162">
        <v>1052</v>
      </c>
      <c r="C162" s="1">
        <v>45122</v>
      </c>
      <c r="D162" s="1" t="str">
        <f t="shared" si="10"/>
        <v>Jul</v>
      </c>
      <c r="E162" t="s">
        <v>321</v>
      </c>
      <c r="F162">
        <v>37</v>
      </c>
      <c r="G162" t="s">
        <v>21</v>
      </c>
      <c r="H162" t="s">
        <v>38</v>
      </c>
      <c r="I162" t="s">
        <v>50</v>
      </c>
      <c r="J162">
        <v>48</v>
      </c>
      <c r="K162" s="4" t="s">
        <v>39</v>
      </c>
      <c r="L162">
        <v>3002.35</v>
      </c>
      <c r="M162">
        <v>4080.61</v>
      </c>
      <c r="N162" t="s">
        <v>25</v>
      </c>
      <c r="O162" s="30">
        <v>0.18</v>
      </c>
      <c r="P162" t="s">
        <v>40</v>
      </c>
      <c r="Q162" t="s">
        <v>27</v>
      </c>
      <c r="R162" t="s">
        <v>35</v>
      </c>
      <c r="S162">
        <f t="shared" si="11"/>
        <v>160612.80960000001</v>
      </c>
      <c r="T162">
        <f t="shared" si="12"/>
        <v>144112.79999999999</v>
      </c>
      <c r="U162">
        <f t="shared" si="13"/>
        <v>16500.009600000019</v>
      </c>
      <c r="V162" t="str">
        <f t="shared" si="14"/>
        <v>Adult</v>
      </c>
    </row>
    <row r="163" spans="1:22" x14ac:dyDescent="0.35">
      <c r="A163" t="s">
        <v>322</v>
      </c>
      <c r="B163">
        <v>1096</v>
      </c>
      <c r="C163" s="1">
        <v>45012</v>
      </c>
      <c r="D163" s="1" t="str">
        <f t="shared" si="10"/>
        <v>Mar</v>
      </c>
      <c r="E163" t="s">
        <v>323</v>
      </c>
      <c r="F163">
        <v>45</v>
      </c>
      <c r="G163" t="s">
        <v>54</v>
      </c>
      <c r="H163" t="s">
        <v>81</v>
      </c>
      <c r="I163" t="s">
        <v>33</v>
      </c>
      <c r="J163">
        <v>48</v>
      </c>
      <c r="K163" s="4" t="s">
        <v>45</v>
      </c>
      <c r="L163">
        <v>2449.21</v>
      </c>
      <c r="M163">
        <v>2714.12</v>
      </c>
      <c r="N163" t="s">
        <v>46</v>
      </c>
      <c r="O163" s="30">
        <v>0.01</v>
      </c>
      <c r="P163" t="s">
        <v>47</v>
      </c>
      <c r="Q163" t="s">
        <v>34</v>
      </c>
      <c r="R163" t="s">
        <v>35</v>
      </c>
      <c r="S163">
        <f t="shared" si="11"/>
        <v>128974.98239999999</v>
      </c>
      <c r="T163">
        <f t="shared" si="12"/>
        <v>117562.08</v>
      </c>
      <c r="U163">
        <f t="shared" si="13"/>
        <v>11412.902399999992</v>
      </c>
      <c r="V163" t="str">
        <f t="shared" si="14"/>
        <v>Senior</v>
      </c>
    </row>
    <row r="164" spans="1:22" x14ac:dyDescent="0.35">
      <c r="A164" t="s">
        <v>324</v>
      </c>
      <c r="B164">
        <v>1004</v>
      </c>
      <c r="C164" s="1">
        <v>45248</v>
      </c>
      <c r="D164" s="1" t="str">
        <f t="shared" si="10"/>
        <v>Nov</v>
      </c>
      <c r="E164" t="s">
        <v>254</v>
      </c>
      <c r="F164">
        <v>28</v>
      </c>
      <c r="G164" t="s">
        <v>54</v>
      </c>
      <c r="H164" t="s">
        <v>32</v>
      </c>
      <c r="I164" t="s">
        <v>44</v>
      </c>
      <c r="J164">
        <v>1</v>
      </c>
      <c r="K164" s="4" t="s">
        <v>39</v>
      </c>
      <c r="L164">
        <v>182.99</v>
      </c>
      <c r="M164">
        <v>211.18</v>
      </c>
      <c r="N164" t="s">
        <v>25</v>
      </c>
      <c r="O164" s="30">
        <v>0.27</v>
      </c>
      <c r="P164" t="s">
        <v>40</v>
      </c>
      <c r="Q164" t="s">
        <v>27</v>
      </c>
      <c r="R164" t="s">
        <v>28</v>
      </c>
      <c r="S164">
        <f t="shared" si="11"/>
        <v>154.16140000000001</v>
      </c>
      <c r="T164">
        <f t="shared" si="12"/>
        <v>182.99</v>
      </c>
      <c r="U164">
        <f t="shared" si="13"/>
        <v>-28.828599999999994</v>
      </c>
      <c r="V164" t="str">
        <f t="shared" si="14"/>
        <v>Adult</v>
      </c>
    </row>
    <row r="165" spans="1:22" x14ac:dyDescent="0.35">
      <c r="A165" t="s">
        <v>325</v>
      </c>
      <c r="B165">
        <v>1094</v>
      </c>
      <c r="C165" s="1">
        <v>44936</v>
      </c>
      <c r="D165" s="1" t="str">
        <f t="shared" si="10"/>
        <v>Jan</v>
      </c>
      <c r="E165" t="s">
        <v>250</v>
      </c>
      <c r="F165">
        <v>21</v>
      </c>
      <c r="G165" t="s">
        <v>100</v>
      </c>
      <c r="H165" t="s">
        <v>81</v>
      </c>
      <c r="I165" t="s">
        <v>23</v>
      </c>
      <c r="J165">
        <v>25</v>
      </c>
      <c r="K165" s="4" t="s">
        <v>51</v>
      </c>
      <c r="L165">
        <v>1933.39</v>
      </c>
      <c r="M165">
        <v>1982.92</v>
      </c>
      <c r="N165" t="s">
        <v>46</v>
      </c>
      <c r="O165" s="30">
        <v>0.17</v>
      </c>
      <c r="P165" t="s">
        <v>40</v>
      </c>
      <c r="Q165" t="s">
        <v>34</v>
      </c>
      <c r="R165" t="s">
        <v>35</v>
      </c>
      <c r="S165">
        <f t="shared" si="11"/>
        <v>41145.589999999997</v>
      </c>
      <c r="T165">
        <f t="shared" si="12"/>
        <v>48334.75</v>
      </c>
      <c r="U165">
        <f t="shared" si="13"/>
        <v>-7189.1600000000035</v>
      </c>
      <c r="V165" t="str">
        <f t="shared" si="14"/>
        <v>Young</v>
      </c>
    </row>
    <row r="166" spans="1:22" x14ac:dyDescent="0.35">
      <c r="A166" t="s">
        <v>326</v>
      </c>
      <c r="B166">
        <v>1023</v>
      </c>
      <c r="C166" s="1">
        <v>44931</v>
      </c>
      <c r="D166" s="1" t="str">
        <f t="shared" si="10"/>
        <v>Jan</v>
      </c>
      <c r="E166" t="s">
        <v>327</v>
      </c>
      <c r="F166">
        <v>32</v>
      </c>
      <c r="G166" t="s">
        <v>31</v>
      </c>
      <c r="H166" t="s">
        <v>38</v>
      </c>
      <c r="I166" t="s">
        <v>44</v>
      </c>
      <c r="J166">
        <v>2</v>
      </c>
      <c r="K166" s="4" t="s">
        <v>45</v>
      </c>
      <c r="L166">
        <v>575.32000000000005</v>
      </c>
      <c r="M166">
        <v>914.77</v>
      </c>
      <c r="N166" t="s">
        <v>25</v>
      </c>
      <c r="O166" s="30">
        <v>0.26</v>
      </c>
      <c r="P166" t="s">
        <v>40</v>
      </c>
      <c r="Q166" t="s">
        <v>27</v>
      </c>
      <c r="R166" t="s">
        <v>35</v>
      </c>
      <c r="S166">
        <f t="shared" si="11"/>
        <v>1353.8596</v>
      </c>
      <c r="T166">
        <f t="shared" si="12"/>
        <v>1150.6400000000001</v>
      </c>
      <c r="U166">
        <f t="shared" si="13"/>
        <v>203.2195999999999</v>
      </c>
      <c r="V166" t="str">
        <f t="shared" si="14"/>
        <v>Adult</v>
      </c>
    </row>
    <row r="167" spans="1:22" x14ac:dyDescent="0.35">
      <c r="A167" t="s">
        <v>328</v>
      </c>
      <c r="B167">
        <v>1015</v>
      </c>
      <c r="C167" s="1">
        <v>45049</v>
      </c>
      <c r="D167" s="1" t="str">
        <f t="shared" si="10"/>
        <v>May</v>
      </c>
      <c r="E167" t="s">
        <v>91</v>
      </c>
      <c r="F167">
        <v>23</v>
      </c>
      <c r="G167" t="s">
        <v>21</v>
      </c>
      <c r="H167" t="s">
        <v>54</v>
      </c>
      <c r="I167" t="s">
        <v>23</v>
      </c>
      <c r="J167">
        <v>30</v>
      </c>
      <c r="K167" s="4" t="s">
        <v>39</v>
      </c>
      <c r="L167">
        <v>2680.22</v>
      </c>
      <c r="M167">
        <v>4027.92</v>
      </c>
      <c r="N167" t="s">
        <v>25</v>
      </c>
      <c r="O167" s="30">
        <v>0.25</v>
      </c>
      <c r="P167" t="s">
        <v>40</v>
      </c>
      <c r="Q167" t="s">
        <v>27</v>
      </c>
      <c r="R167" t="s">
        <v>35</v>
      </c>
      <c r="S167">
        <f t="shared" si="11"/>
        <v>90628.200000000012</v>
      </c>
      <c r="T167">
        <f t="shared" si="12"/>
        <v>80406.599999999991</v>
      </c>
      <c r="U167">
        <f t="shared" si="13"/>
        <v>10221.60000000002</v>
      </c>
      <c r="V167" t="str">
        <f t="shared" si="14"/>
        <v>Young</v>
      </c>
    </row>
    <row r="168" spans="1:22" x14ac:dyDescent="0.35">
      <c r="A168" t="s">
        <v>329</v>
      </c>
      <c r="B168">
        <v>1043</v>
      </c>
      <c r="C168" s="1">
        <v>45256</v>
      </c>
      <c r="D168" s="1" t="str">
        <f t="shared" si="10"/>
        <v>Nov</v>
      </c>
      <c r="E168" t="s">
        <v>156</v>
      </c>
      <c r="F168">
        <v>47</v>
      </c>
      <c r="G168" t="s">
        <v>65</v>
      </c>
      <c r="H168" t="s">
        <v>22</v>
      </c>
      <c r="I168" t="s">
        <v>33</v>
      </c>
      <c r="J168">
        <v>3</v>
      </c>
      <c r="K168" s="4" t="s">
        <v>51</v>
      </c>
      <c r="L168">
        <v>2009.1</v>
      </c>
      <c r="M168">
        <v>2186.42</v>
      </c>
      <c r="N168" t="s">
        <v>46</v>
      </c>
      <c r="O168" s="30">
        <v>0.25</v>
      </c>
      <c r="P168" t="s">
        <v>40</v>
      </c>
      <c r="Q168" t="s">
        <v>27</v>
      </c>
      <c r="R168" t="s">
        <v>35</v>
      </c>
      <c r="S168">
        <f t="shared" si="11"/>
        <v>4919.4449999999997</v>
      </c>
      <c r="T168">
        <f t="shared" si="12"/>
        <v>6027.2999999999993</v>
      </c>
      <c r="U168">
        <f t="shared" si="13"/>
        <v>-1107.8549999999996</v>
      </c>
      <c r="V168" t="str">
        <f t="shared" si="14"/>
        <v>Senior</v>
      </c>
    </row>
    <row r="169" spans="1:22" x14ac:dyDescent="0.35">
      <c r="A169" t="s">
        <v>330</v>
      </c>
      <c r="B169">
        <v>1029</v>
      </c>
      <c r="C169" s="1">
        <v>45279</v>
      </c>
      <c r="D169" s="1" t="str">
        <f t="shared" si="10"/>
        <v>Dec</v>
      </c>
      <c r="E169" t="s">
        <v>95</v>
      </c>
      <c r="F169">
        <v>55</v>
      </c>
      <c r="G169" t="s">
        <v>54</v>
      </c>
      <c r="H169" t="s">
        <v>38</v>
      </c>
      <c r="I169" t="s">
        <v>50</v>
      </c>
      <c r="J169">
        <v>21</v>
      </c>
      <c r="K169" s="4" t="s">
        <v>39</v>
      </c>
      <c r="L169">
        <v>3085.1</v>
      </c>
      <c r="M169">
        <v>3800.75</v>
      </c>
      <c r="N169" t="s">
        <v>46</v>
      </c>
      <c r="O169" s="30">
        <v>0.21</v>
      </c>
      <c r="P169" t="s">
        <v>26</v>
      </c>
      <c r="Q169" t="s">
        <v>34</v>
      </c>
      <c r="R169" t="s">
        <v>41</v>
      </c>
      <c r="S169">
        <f t="shared" si="11"/>
        <v>63054.442500000005</v>
      </c>
      <c r="T169">
        <f t="shared" si="12"/>
        <v>64787.1</v>
      </c>
      <c r="U169">
        <f t="shared" si="13"/>
        <v>-1732.6574999999939</v>
      </c>
      <c r="V169" t="str">
        <f t="shared" si="14"/>
        <v>Senior</v>
      </c>
    </row>
    <row r="170" spans="1:22" x14ac:dyDescent="0.35">
      <c r="A170" t="s">
        <v>331</v>
      </c>
      <c r="B170">
        <v>1036</v>
      </c>
      <c r="C170" s="1">
        <v>45044</v>
      </c>
      <c r="D170" s="1" t="str">
        <f t="shared" si="10"/>
        <v>Apr</v>
      </c>
      <c r="E170" t="s">
        <v>302</v>
      </c>
      <c r="F170">
        <v>19</v>
      </c>
      <c r="G170" t="s">
        <v>54</v>
      </c>
      <c r="H170" t="s">
        <v>81</v>
      </c>
      <c r="I170" t="s">
        <v>50</v>
      </c>
      <c r="J170">
        <v>25</v>
      </c>
      <c r="K170" s="4" t="s">
        <v>24</v>
      </c>
      <c r="L170">
        <v>4037.73</v>
      </c>
      <c r="M170">
        <v>4446.45</v>
      </c>
      <c r="N170" t="s">
        <v>25</v>
      </c>
      <c r="O170" s="30">
        <v>0.09</v>
      </c>
      <c r="P170" t="s">
        <v>40</v>
      </c>
      <c r="Q170" t="s">
        <v>27</v>
      </c>
      <c r="R170" t="s">
        <v>28</v>
      </c>
      <c r="S170">
        <f t="shared" si="11"/>
        <v>101156.7375</v>
      </c>
      <c r="T170">
        <f t="shared" si="12"/>
        <v>100943.25</v>
      </c>
      <c r="U170">
        <f t="shared" si="13"/>
        <v>213.48750000000291</v>
      </c>
      <c r="V170" t="str">
        <f t="shared" si="14"/>
        <v>Young</v>
      </c>
    </row>
    <row r="171" spans="1:22" x14ac:dyDescent="0.35">
      <c r="A171" t="s">
        <v>332</v>
      </c>
      <c r="B171">
        <v>1013</v>
      </c>
      <c r="C171" s="1">
        <v>45220</v>
      </c>
      <c r="D171" s="1" t="str">
        <f t="shared" si="10"/>
        <v>Oct</v>
      </c>
      <c r="E171" t="s">
        <v>333</v>
      </c>
      <c r="F171">
        <v>32</v>
      </c>
      <c r="G171" t="s">
        <v>65</v>
      </c>
      <c r="H171" t="s">
        <v>22</v>
      </c>
      <c r="I171" t="s">
        <v>33</v>
      </c>
      <c r="J171">
        <v>20</v>
      </c>
      <c r="K171" s="4" t="s">
        <v>51</v>
      </c>
      <c r="L171">
        <v>1533.36</v>
      </c>
      <c r="M171">
        <v>1649.74</v>
      </c>
      <c r="N171" t="s">
        <v>25</v>
      </c>
      <c r="O171" s="30">
        <v>0.1</v>
      </c>
      <c r="P171" t="s">
        <v>40</v>
      </c>
      <c r="Q171" t="s">
        <v>27</v>
      </c>
      <c r="R171" t="s">
        <v>28</v>
      </c>
      <c r="S171">
        <f t="shared" si="11"/>
        <v>29695.320000000003</v>
      </c>
      <c r="T171">
        <f t="shared" si="12"/>
        <v>30667.199999999997</v>
      </c>
      <c r="U171">
        <f t="shared" si="13"/>
        <v>-971.87999999999374</v>
      </c>
      <c r="V171" t="str">
        <f t="shared" si="14"/>
        <v>Adult</v>
      </c>
    </row>
    <row r="172" spans="1:22" x14ac:dyDescent="0.35">
      <c r="A172" t="s">
        <v>334</v>
      </c>
      <c r="B172">
        <v>1032</v>
      </c>
      <c r="C172" s="1">
        <v>45085</v>
      </c>
      <c r="D172" s="1" t="str">
        <f t="shared" si="10"/>
        <v>Jun</v>
      </c>
      <c r="E172" t="s">
        <v>93</v>
      </c>
      <c r="F172">
        <v>28</v>
      </c>
      <c r="G172" t="s">
        <v>21</v>
      </c>
      <c r="H172" t="s">
        <v>81</v>
      </c>
      <c r="I172" t="s">
        <v>50</v>
      </c>
      <c r="J172">
        <v>49</v>
      </c>
      <c r="K172" s="4" t="s">
        <v>51</v>
      </c>
      <c r="L172">
        <v>4812.41</v>
      </c>
      <c r="M172">
        <v>5588</v>
      </c>
      <c r="N172" t="s">
        <v>25</v>
      </c>
      <c r="O172" s="30">
        <v>0.09</v>
      </c>
      <c r="P172" t="s">
        <v>47</v>
      </c>
      <c r="Q172" t="s">
        <v>34</v>
      </c>
      <c r="R172" t="s">
        <v>41</v>
      </c>
      <c r="S172">
        <f t="shared" si="11"/>
        <v>249168.92</v>
      </c>
      <c r="T172">
        <f t="shared" si="12"/>
        <v>235808.09</v>
      </c>
      <c r="U172">
        <f t="shared" si="13"/>
        <v>13360.830000000016</v>
      </c>
      <c r="V172" t="str">
        <f t="shared" si="14"/>
        <v>Adult</v>
      </c>
    </row>
    <row r="173" spans="1:22" x14ac:dyDescent="0.35">
      <c r="A173" t="s">
        <v>335</v>
      </c>
      <c r="B173">
        <v>1071</v>
      </c>
      <c r="C173" s="1">
        <v>45229</v>
      </c>
      <c r="D173" s="1" t="str">
        <f t="shared" si="10"/>
        <v>Oct</v>
      </c>
      <c r="E173" t="s">
        <v>64</v>
      </c>
      <c r="F173">
        <v>25</v>
      </c>
      <c r="G173" t="s">
        <v>21</v>
      </c>
      <c r="H173" t="s">
        <v>81</v>
      </c>
      <c r="I173" t="s">
        <v>50</v>
      </c>
      <c r="J173">
        <v>22</v>
      </c>
      <c r="K173" s="4" t="s">
        <v>51</v>
      </c>
      <c r="L173">
        <v>2701.39</v>
      </c>
      <c r="M173">
        <v>3185.81</v>
      </c>
      <c r="N173" t="s">
        <v>46</v>
      </c>
      <c r="O173" s="30">
        <v>0.01</v>
      </c>
      <c r="P173" t="s">
        <v>40</v>
      </c>
      <c r="Q173" t="s">
        <v>34</v>
      </c>
      <c r="R173" t="s">
        <v>35</v>
      </c>
      <c r="S173">
        <f t="shared" si="11"/>
        <v>69386.941799999986</v>
      </c>
      <c r="T173">
        <f t="shared" si="12"/>
        <v>59430.579999999994</v>
      </c>
      <c r="U173">
        <f t="shared" si="13"/>
        <v>9956.3617999999915</v>
      </c>
      <c r="V173" t="str">
        <f t="shared" si="14"/>
        <v>Adult</v>
      </c>
    </row>
    <row r="174" spans="1:22" x14ac:dyDescent="0.35">
      <c r="A174" t="s">
        <v>336</v>
      </c>
      <c r="B174">
        <v>1059</v>
      </c>
      <c r="C174" s="1">
        <v>45154</v>
      </c>
      <c r="D174" s="1" t="str">
        <f t="shared" si="10"/>
        <v>Aug</v>
      </c>
      <c r="E174" t="s">
        <v>337</v>
      </c>
      <c r="F174">
        <v>43</v>
      </c>
      <c r="G174" t="s">
        <v>31</v>
      </c>
      <c r="H174" t="s">
        <v>54</v>
      </c>
      <c r="I174" t="s">
        <v>23</v>
      </c>
      <c r="J174">
        <v>21</v>
      </c>
      <c r="K174" s="4" t="s">
        <v>45</v>
      </c>
      <c r="L174">
        <v>3110.54</v>
      </c>
      <c r="M174">
        <v>3192.99</v>
      </c>
      <c r="N174" t="s">
        <v>46</v>
      </c>
      <c r="O174" s="30">
        <v>0.17</v>
      </c>
      <c r="P174" t="s">
        <v>47</v>
      </c>
      <c r="Q174" t="s">
        <v>27</v>
      </c>
      <c r="R174" t="s">
        <v>41</v>
      </c>
      <c r="S174">
        <f t="shared" si="11"/>
        <v>55653.815699999992</v>
      </c>
      <c r="T174">
        <f t="shared" si="12"/>
        <v>65321.34</v>
      </c>
      <c r="U174">
        <f t="shared" si="13"/>
        <v>-9667.5243000000046</v>
      </c>
      <c r="V174" t="str">
        <f t="shared" si="14"/>
        <v>Senior</v>
      </c>
    </row>
    <row r="175" spans="1:22" x14ac:dyDescent="0.35">
      <c r="A175" t="s">
        <v>338</v>
      </c>
      <c r="B175">
        <v>1086</v>
      </c>
      <c r="C175" s="1">
        <v>45291</v>
      </c>
      <c r="D175" s="1" t="str">
        <f t="shared" si="10"/>
        <v>Dec</v>
      </c>
      <c r="E175" t="s">
        <v>168</v>
      </c>
      <c r="F175">
        <v>62</v>
      </c>
      <c r="G175" t="s">
        <v>31</v>
      </c>
      <c r="H175" t="s">
        <v>22</v>
      </c>
      <c r="I175" t="s">
        <v>33</v>
      </c>
      <c r="J175">
        <v>33</v>
      </c>
      <c r="K175" s="4" t="s">
        <v>45</v>
      </c>
      <c r="L175">
        <v>3419.33</v>
      </c>
      <c r="M175">
        <v>3890.36</v>
      </c>
      <c r="N175" t="s">
        <v>25</v>
      </c>
      <c r="O175" s="30">
        <v>0.21</v>
      </c>
      <c r="P175" t="s">
        <v>26</v>
      </c>
      <c r="Q175" t="s">
        <v>27</v>
      </c>
      <c r="R175" t="s">
        <v>35</v>
      </c>
      <c r="S175">
        <f t="shared" si="11"/>
        <v>101421.68520000001</v>
      </c>
      <c r="T175">
        <f t="shared" si="12"/>
        <v>112837.89</v>
      </c>
      <c r="U175">
        <f t="shared" si="13"/>
        <v>-11416.204799999992</v>
      </c>
      <c r="V175" t="str">
        <f t="shared" si="14"/>
        <v>Senior</v>
      </c>
    </row>
    <row r="176" spans="1:22" x14ac:dyDescent="0.35">
      <c r="A176" t="s">
        <v>339</v>
      </c>
      <c r="B176">
        <v>1028</v>
      </c>
      <c r="C176" s="1">
        <v>45142</v>
      </c>
      <c r="D176" s="1" t="str">
        <f t="shared" si="10"/>
        <v>Aug</v>
      </c>
      <c r="E176" t="s">
        <v>244</v>
      </c>
      <c r="F176">
        <v>61</v>
      </c>
      <c r="G176" t="s">
        <v>100</v>
      </c>
      <c r="H176" t="s">
        <v>22</v>
      </c>
      <c r="I176" t="s">
        <v>44</v>
      </c>
      <c r="J176">
        <v>38</v>
      </c>
      <c r="K176" s="4" t="s">
        <v>45</v>
      </c>
      <c r="L176">
        <v>3350.32</v>
      </c>
      <c r="M176">
        <v>5449.94</v>
      </c>
      <c r="N176" t="s">
        <v>46</v>
      </c>
      <c r="O176" s="30">
        <v>0.26</v>
      </c>
      <c r="P176" t="s">
        <v>26</v>
      </c>
      <c r="Q176" t="s">
        <v>27</v>
      </c>
      <c r="R176" t="s">
        <v>41</v>
      </c>
      <c r="S176">
        <f t="shared" si="11"/>
        <v>153252.31279999999</v>
      </c>
      <c r="T176">
        <f t="shared" si="12"/>
        <v>127312.16</v>
      </c>
      <c r="U176">
        <f t="shared" si="13"/>
        <v>25940.152799999982</v>
      </c>
      <c r="V176" t="str">
        <f t="shared" si="14"/>
        <v>Senior</v>
      </c>
    </row>
    <row r="177" spans="1:22" x14ac:dyDescent="0.35">
      <c r="A177" t="s">
        <v>340</v>
      </c>
      <c r="B177">
        <v>1066</v>
      </c>
      <c r="C177" s="1">
        <v>45110</v>
      </c>
      <c r="D177" s="1" t="str">
        <f t="shared" si="10"/>
        <v>Jul</v>
      </c>
      <c r="E177" t="s">
        <v>341</v>
      </c>
      <c r="F177">
        <v>22</v>
      </c>
      <c r="G177" t="s">
        <v>54</v>
      </c>
      <c r="H177" t="s">
        <v>54</v>
      </c>
      <c r="I177" t="s">
        <v>23</v>
      </c>
      <c r="J177">
        <v>15</v>
      </c>
      <c r="K177" s="4" t="s">
        <v>24</v>
      </c>
      <c r="L177">
        <v>2579.31</v>
      </c>
      <c r="M177">
        <v>2867.36</v>
      </c>
      <c r="N177" t="s">
        <v>25</v>
      </c>
      <c r="O177" s="30">
        <v>0.04</v>
      </c>
      <c r="P177" t="s">
        <v>40</v>
      </c>
      <c r="Q177" t="s">
        <v>34</v>
      </c>
      <c r="R177" t="s">
        <v>28</v>
      </c>
      <c r="S177">
        <f t="shared" si="11"/>
        <v>41289.983999999997</v>
      </c>
      <c r="T177">
        <f t="shared" si="12"/>
        <v>38689.65</v>
      </c>
      <c r="U177">
        <f t="shared" si="13"/>
        <v>2600.3339999999953</v>
      </c>
      <c r="V177" t="str">
        <f t="shared" si="14"/>
        <v>Young</v>
      </c>
    </row>
    <row r="178" spans="1:22" x14ac:dyDescent="0.35">
      <c r="A178" t="s">
        <v>342</v>
      </c>
      <c r="B178">
        <v>1042</v>
      </c>
      <c r="C178" s="1">
        <v>44941</v>
      </c>
      <c r="D178" s="1" t="str">
        <f t="shared" si="10"/>
        <v>Jan</v>
      </c>
      <c r="E178" t="s">
        <v>289</v>
      </c>
      <c r="F178">
        <v>23</v>
      </c>
      <c r="G178" t="s">
        <v>31</v>
      </c>
      <c r="H178" t="s">
        <v>38</v>
      </c>
      <c r="I178" t="s">
        <v>33</v>
      </c>
      <c r="J178">
        <v>46</v>
      </c>
      <c r="K178" s="4" t="s">
        <v>24</v>
      </c>
      <c r="L178">
        <v>2172.38</v>
      </c>
      <c r="M178">
        <v>2367.11</v>
      </c>
      <c r="N178" t="s">
        <v>46</v>
      </c>
      <c r="O178" s="30">
        <v>0.16</v>
      </c>
      <c r="P178" t="s">
        <v>26</v>
      </c>
      <c r="Q178" t="s">
        <v>34</v>
      </c>
      <c r="R178" t="s">
        <v>28</v>
      </c>
      <c r="S178">
        <f t="shared" si="11"/>
        <v>91465.130400000009</v>
      </c>
      <c r="T178">
        <f t="shared" si="12"/>
        <v>99929.48000000001</v>
      </c>
      <c r="U178">
        <f t="shared" si="13"/>
        <v>-8464.3496000000014</v>
      </c>
      <c r="V178" t="str">
        <f t="shared" si="14"/>
        <v>Young</v>
      </c>
    </row>
    <row r="179" spans="1:22" x14ac:dyDescent="0.35">
      <c r="A179" t="s">
        <v>343</v>
      </c>
      <c r="B179">
        <v>1045</v>
      </c>
      <c r="C179" s="1">
        <v>45083</v>
      </c>
      <c r="D179" s="1" t="str">
        <f t="shared" si="10"/>
        <v>Jun</v>
      </c>
      <c r="E179" t="s">
        <v>20</v>
      </c>
      <c r="F179">
        <v>43</v>
      </c>
      <c r="G179" t="s">
        <v>21</v>
      </c>
      <c r="H179" t="s">
        <v>81</v>
      </c>
      <c r="I179" t="s">
        <v>23</v>
      </c>
      <c r="J179">
        <v>15</v>
      </c>
      <c r="K179" s="4" t="s">
        <v>51</v>
      </c>
      <c r="L179">
        <v>316.22000000000003</v>
      </c>
      <c r="M179">
        <v>799.04</v>
      </c>
      <c r="N179" t="s">
        <v>46</v>
      </c>
      <c r="O179" s="30">
        <v>0</v>
      </c>
      <c r="P179" t="s">
        <v>40</v>
      </c>
      <c r="Q179" t="s">
        <v>34</v>
      </c>
      <c r="R179" t="s">
        <v>28</v>
      </c>
      <c r="S179">
        <f t="shared" si="11"/>
        <v>11985.599999999999</v>
      </c>
      <c r="T179">
        <f t="shared" si="12"/>
        <v>4743.3</v>
      </c>
      <c r="U179">
        <f t="shared" si="13"/>
        <v>7242.2999999999984</v>
      </c>
      <c r="V179" t="str">
        <f t="shared" si="14"/>
        <v>Senior</v>
      </c>
    </row>
    <row r="180" spans="1:22" x14ac:dyDescent="0.35">
      <c r="A180" t="s">
        <v>344</v>
      </c>
      <c r="B180">
        <v>1062</v>
      </c>
      <c r="C180" s="1">
        <v>45062</v>
      </c>
      <c r="D180" s="1" t="str">
        <f t="shared" si="10"/>
        <v>May</v>
      </c>
      <c r="E180" t="s">
        <v>345</v>
      </c>
      <c r="F180">
        <v>21</v>
      </c>
      <c r="G180" t="s">
        <v>65</v>
      </c>
      <c r="H180" t="s">
        <v>32</v>
      </c>
      <c r="I180" t="s">
        <v>44</v>
      </c>
      <c r="J180">
        <v>46</v>
      </c>
      <c r="K180" s="4" t="s">
        <v>24</v>
      </c>
      <c r="L180">
        <v>159.32</v>
      </c>
      <c r="M180">
        <v>303.36</v>
      </c>
      <c r="N180" t="s">
        <v>46</v>
      </c>
      <c r="O180" s="30">
        <v>0.03</v>
      </c>
      <c r="P180" t="s">
        <v>26</v>
      </c>
      <c r="Q180" t="s">
        <v>34</v>
      </c>
      <c r="R180" t="s">
        <v>35</v>
      </c>
      <c r="S180">
        <f t="shared" si="11"/>
        <v>13535.923200000001</v>
      </c>
      <c r="T180">
        <f t="shared" si="12"/>
        <v>7328.7199999999993</v>
      </c>
      <c r="U180">
        <f t="shared" si="13"/>
        <v>6207.2032000000017</v>
      </c>
      <c r="V180" t="str">
        <f t="shared" si="14"/>
        <v>Young</v>
      </c>
    </row>
    <row r="181" spans="1:22" x14ac:dyDescent="0.35">
      <c r="A181" t="s">
        <v>346</v>
      </c>
      <c r="B181">
        <v>1057</v>
      </c>
      <c r="C181" s="1">
        <v>45187</v>
      </c>
      <c r="D181" s="1" t="str">
        <f t="shared" si="10"/>
        <v>Sep</v>
      </c>
      <c r="E181" t="s">
        <v>347</v>
      </c>
      <c r="F181">
        <v>36</v>
      </c>
      <c r="G181" t="s">
        <v>21</v>
      </c>
      <c r="H181" t="s">
        <v>81</v>
      </c>
      <c r="I181" t="s">
        <v>44</v>
      </c>
      <c r="J181">
        <v>25</v>
      </c>
      <c r="K181" s="4" t="s">
        <v>39</v>
      </c>
      <c r="L181">
        <v>1821.91</v>
      </c>
      <c r="M181">
        <v>2027.74</v>
      </c>
      <c r="N181" t="s">
        <v>46</v>
      </c>
      <c r="O181" s="30">
        <v>0.02</v>
      </c>
      <c r="P181" t="s">
        <v>40</v>
      </c>
      <c r="Q181" t="s">
        <v>27</v>
      </c>
      <c r="R181" t="s">
        <v>35</v>
      </c>
      <c r="S181">
        <f t="shared" si="11"/>
        <v>49679.63</v>
      </c>
      <c r="T181">
        <f t="shared" si="12"/>
        <v>45547.75</v>
      </c>
      <c r="U181">
        <f t="shared" si="13"/>
        <v>4131.8799999999974</v>
      </c>
      <c r="V181" t="str">
        <f t="shared" si="14"/>
        <v>Adult</v>
      </c>
    </row>
    <row r="182" spans="1:22" x14ac:dyDescent="0.35">
      <c r="A182" t="s">
        <v>348</v>
      </c>
      <c r="B182">
        <v>1006</v>
      </c>
      <c r="C182" s="1">
        <v>45083</v>
      </c>
      <c r="D182" s="1" t="str">
        <f t="shared" si="10"/>
        <v>Jun</v>
      </c>
      <c r="E182" t="s">
        <v>349</v>
      </c>
      <c r="F182">
        <v>37</v>
      </c>
      <c r="G182" t="s">
        <v>54</v>
      </c>
      <c r="H182" t="s">
        <v>81</v>
      </c>
      <c r="I182" t="s">
        <v>33</v>
      </c>
      <c r="J182">
        <v>21</v>
      </c>
      <c r="K182" s="4" t="s">
        <v>51</v>
      </c>
      <c r="L182">
        <v>1701.62</v>
      </c>
      <c r="M182">
        <v>2193.2199999999998</v>
      </c>
      <c r="N182" t="s">
        <v>46</v>
      </c>
      <c r="O182" s="30">
        <v>0.22</v>
      </c>
      <c r="P182" t="s">
        <v>40</v>
      </c>
      <c r="Q182" t="s">
        <v>34</v>
      </c>
      <c r="R182" t="s">
        <v>41</v>
      </c>
      <c r="S182">
        <f t="shared" si="11"/>
        <v>35924.943599999999</v>
      </c>
      <c r="T182">
        <f t="shared" si="12"/>
        <v>35734.019999999997</v>
      </c>
      <c r="U182">
        <f t="shared" si="13"/>
        <v>190.9236000000019</v>
      </c>
      <c r="V182" t="str">
        <f t="shared" si="14"/>
        <v>Adult</v>
      </c>
    </row>
    <row r="183" spans="1:22" x14ac:dyDescent="0.35">
      <c r="A183" t="s">
        <v>350</v>
      </c>
      <c r="B183">
        <v>1028</v>
      </c>
      <c r="C183" s="1">
        <v>44973</v>
      </c>
      <c r="D183" s="1" t="str">
        <f t="shared" si="10"/>
        <v>Feb</v>
      </c>
      <c r="E183" t="s">
        <v>296</v>
      </c>
      <c r="F183">
        <v>50</v>
      </c>
      <c r="G183" t="s">
        <v>21</v>
      </c>
      <c r="H183" t="s">
        <v>38</v>
      </c>
      <c r="I183" t="s">
        <v>44</v>
      </c>
      <c r="J183">
        <v>24</v>
      </c>
      <c r="K183" s="4" t="s">
        <v>51</v>
      </c>
      <c r="L183">
        <v>1969.09</v>
      </c>
      <c r="M183">
        <v>2241.96</v>
      </c>
      <c r="N183" t="s">
        <v>25</v>
      </c>
      <c r="O183" s="30">
        <v>0.02</v>
      </c>
      <c r="P183" t="s">
        <v>47</v>
      </c>
      <c r="Q183" t="s">
        <v>34</v>
      </c>
      <c r="R183" t="s">
        <v>41</v>
      </c>
      <c r="S183">
        <f t="shared" si="11"/>
        <v>52730.8992</v>
      </c>
      <c r="T183">
        <f t="shared" si="12"/>
        <v>47258.159999999996</v>
      </c>
      <c r="U183">
        <f t="shared" si="13"/>
        <v>5472.7392000000036</v>
      </c>
      <c r="V183" t="str">
        <f t="shared" si="14"/>
        <v>Senior</v>
      </c>
    </row>
    <row r="184" spans="1:22" x14ac:dyDescent="0.35">
      <c r="A184" t="s">
        <v>351</v>
      </c>
      <c r="B184">
        <v>1028</v>
      </c>
      <c r="C184" s="1">
        <v>45250</v>
      </c>
      <c r="D184" s="1" t="str">
        <f t="shared" si="10"/>
        <v>Nov</v>
      </c>
      <c r="E184" t="s">
        <v>184</v>
      </c>
      <c r="F184">
        <v>37</v>
      </c>
      <c r="G184" t="s">
        <v>100</v>
      </c>
      <c r="H184" t="s">
        <v>81</v>
      </c>
      <c r="I184" t="s">
        <v>23</v>
      </c>
      <c r="J184">
        <v>5</v>
      </c>
      <c r="K184" s="4" t="s">
        <v>39</v>
      </c>
      <c r="L184">
        <v>734.92</v>
      </c>
      <c r="M184">
        <v>991.21</v>
      </c>
      <c r="N184" t="s">
        <v>25</v>
      </c>
      <c r="O184" s="30">
        <v>0.21</v>
      </c>
      <c r="P184" t="s">
        <v>47</v>
      </c>
      <c r="Q184" t="s">
        <v>34</v>
      </c>
      <c r="R184" t="s">
        <v>28</v>
      </c>
      <c r="S184">
        <f t="shared" si="11"/>
        <v>3915.2795000000001</v>
      </c>
      <c r="T184">
        <f t="shared" si="12"/>
        <v>3674.6</v>
      </c>
      <c r="U184">
        <f t="shared" si="13"/>
        <v>240.67950000000019</v>
      </c>
      <c r="V184" t="str">
        <f t="shared" si="14"/>
        <v>Adult</v>
      </c>
    </row>
    <row r="185" spans="1:22" x14ac:dyDescent="0.35">
      <c r="A185" t="s">
        <v>352</v>
      </c>
      <c r="B185">
        <v>1044</v>
      </c>
      <c r="C185" s="1">
        <v>45258</v>
      </c>
      <c r="D185" s="1" t="str">
        <f t="shared" si="10"/>
        <v>Nov</v>
      </c>
      <c r="E185" t="s">
        <v>302</v>
      </c>
      <c r="F185">
        <v>29</v>
      </c>
      <c r="G185" t="s">
        <v>54</v>
      </c>
      <c r="H185" t="s">
        <v>54</v>
      </c>
      <c r="I185" t="s">
        <v>44</v>
      </c>
      <c r="J185">
        <v>6</v>
      </c>
      <c r="K185" s="4" t="s">
        <v>51</v>
      </c>
      <c r="L185">
        <v>3703.93</v>
      </c>
      <c r="M185">
        <v>3840.24</v>
      </c>
      <c r="N185" t="s">
        <v>46</v>
      </c>
      <c r="O185" s="30">
        <v>7.0000000000000007E-2</v>
      </c>
      <c r="P185" t="s">
        <v>47</v>
      </c>
      <c r="Q185" t="s">
        <v>27</v>
      </c>
      <c r="R185" t="s">
        <v>35</v>
      </c>
      <c r="S185">
        <f t="shared" si="11"/>
        <v>21428.539199999996</v>
      </c>
      <c r="T185">
        <f t="shared" si="12"/>
        <v>22223.579999999998</v>
      </c>
      <c r="U185">
        <f t="shared" si="13"/>
        <v>-795.04080000000249</v>
      </c>
      <c r="V185" t="str">
        <f t="shared" si="14"/>
        <v>Adult</v>
      </c>
    </row>
    <row r="186" spans="1:22" x14ac:dyDescent="0.35">
      <c r="A186" t="s">
        <v>353</v>
      </c>
      <c r="B186">
        <v>1084</v>
      </c>
      <c r="C186" s="1">
        <v>45099</v>
      </c>
      <c r="D186" s="1" t="str">
        <f t="shared" si="10"/>
        <v>Jun</v>
      </c>
      <c r="E186" t="s">
        <v>83</v>
      </c>
      <c r="F186">
        <v>64</v>
      </c>
      <c r="G186" t="s">
        <v>65</v>
      </c>
      <c r="H186" t="s">
        <v>54</v>
      </c>
      <c r="I186" t="s">
        <v>23</v>
      </c>
      <c r="J186">
        <v>49</v>
      </c>
      <c r="K186" s="4" t="s">
        <v>24</v>
      </c>
      <c r="L186">
        <v>4291.97</v>
      </c>
      <c r="M186">
        <v>6745.64</v>
      </c>
      <c r="N186" t="s">
        <v>25</v>
      </c>
      <c r="O186" s="30">
        <v>0.26</v>
      </c>
      <c r="P186" t="s">
        <v>47</v>
      </c>
      <c r="Q186" t="s">
        <v>27</v>
      </c>
      <c r="R186" t="s">
        <v>41</v>
      </c>
      <c r="S186">
        <f t="shared" si="11"/>
        <v>244596.90640000004</v>
      </c>
      <c r="T186">
        <f t="shared" si="12"/>
        <v>210306.53</v>
      </c>
      <c r="U186">
        <f t="shared" si="13"/>
        <v>34290.376400000037</v>
      </c>
      <c r="V186" t="str">
        <f t="shared" si="14"/>
        <v>Senior</v>
      </c>
    </row>
    <row r="187" spans="1:22" x14ac:dyDescent="0.35">
      <c r="A187" t="s">
        <v>354</v>
      </c>
      <c r="B187">
        <v>1030</v>
      </c>
      <c r="C187" s="1">
        <v>45056</v>
      </c>
      <c r="D187" s="1" t="str">
        <f t="shared" si="10"/>
        <v>May</v>
      </c>
      <c r="E187" t="s">
        <v>150</v>
      </c>
      <c r="F187">
        <v>18</v>
      </c>
      <c r="G187" t="s">
        <v>100</v>
      </c>
      <c r="H187" t="s">
        <v>22</v>
      </c>
      <c r="I187" t="s">
        <v>23</v>
      </c>
      <c r="J187">
        <v>43</v>
      </c>
      <c r="K187" s="4" t="s">
        <v>45</v>
      </c>
      <c r="L187">
        <v>4696.6400000000003</v>
      </c>
      <c r="M187">
        <v>5613.68</v>
      </c>
      <c r="N187" t="s">
        <v>25</v>
      </c>
      <c r="O187" s="30">
        <v>0.15</v>
      </c>
      <c r="P187" t="s">
        <v>40</v>
      </c>
      <c r="Q187" t="s">
        <v>34</v>
      </c>
      <c r="R187" t="s">
        <v>35</v>
      </c>
      <c r="S187">
        <f t="shared" si="11"/>
        <v>205180.00400000002</v>
      </c>
      <c r="T187">
        <f t="shared" si="12"/>
        <v>201955.52000000002</v>
      </c>
      <c r="U187">
        <f t="shared" si="13"/>
        <v>3224.4839999999967</v>
      </c>
      <c r="V187" t="str">
        <f t="shared" si="14"/>
        <v>Young</v>
      </c>
    </row>
    <row r="188" spans="1:22" x14ac:dyDescent="0.35">
      <c r="A188" t="s">
        <v>355</v>
      </c>
      <c r="B188">
        <v>1062</v>
      </c>
      <c r="C188" s="1">
        <v>45021</v>
      </c>
      <c r="D188" s="1" t="str">
        <f t="shared" si="10"/>
        <v>Apr</v>
      </c>
      <c r="E188" t="s">
        <v>272</v>
      </c>
      <c r="F188">
        <v>43</v>
      </c>
      <c r="G188" t="s">
        <v>54</v>
      </c>
      <c r="H188" t="s">
        <v>32</v>
      </c>
      <c r="I188" t="s">
        <v>44</v>
      </c>
      <c r="J188">
        <v>48</v>
      </c>
      <c r="K188" s="4" t="s">
        <v>39</v>
      </c>
      <c r="L188">
        <v>2487.19</v>
      </c>
      <c r="M188">
        <v>3321.45</v>
      </c>
      <c r="N188" t="s">
        <v>46</v>
      </c>
      <c r="O188" s="30">
        <v>0.28999999999999998</v>
      </c>
      <c r="P188" t="s">
        <v>26</v>
      </c>
      <c r="Q188" t="s">
        <v>34</v>
      </c>
      <c r="R188" t="s">
        <v>35</v>
      </c>
      <c r="S188">
        <f t="shared" si="11"/>
        <v>113195.01599999997</v>
      </c>
      <c r="T188">
        <f t="shared" si="12"/>
        <v>119385.12</v>
      </c>
      <c r="U188">
        <f t="shared" si="13"/>
        <v>-6190.1040000000212</v>
      </c>
      <c r="V188" t="str">
        <f t="shared" si="14"/>
        <v>Senior</v>
      </c>
    </row>
    <row r="189" spans="1:22" x14ac:dyDescent="0.35">
      <c r="A189" t="s">
        <v>356</v>
      </c>
      <c r="B189">
        <v>1075</v>
      </c>
      <c r="C189" s="1">
        <v>45041</v>
      </c>
      <c r="D189" s="1" t="str">
        <f t="shared" si="10"/>
        <v>Apr</v>
      </c>
      <c r="E189" t="s">
        <v>83</v>
      </c>
      <c r="F189">
        <v>31</v>
      </c>
      <c r="G189" t="s">
        <v>65</v>
      </c>
      <c r="H189" t="s">
        <v>81</v>
      </c>
      <c r="I189" t="s">
        <v>33</v>
      </c>
      <c r="J189">
        <v>44</v>
      </c>
      <c r="K189" s="4" t="s">
        <v>24</v>
      </c>
      <c r="L189">
        <v>3519.29</v>
      </c>
      <c r="M189">
        <v>4822.9799999999996</v>
      </c>
      <c r="N189" t="s">
        <v>25</v>
      </c>
      <c r="O189" s="30">
        <v>0.27</v>
      </c>
      <c r="P189" t="s">
        <v>40</v>
      </c>
      <c r="Q189" t="s">
        <v>27</v>
      </c>
      <c r="R189" t="s">
        <v>28</v>
      </c>
      <c r="S189">
        <f t="shared" si="11"/>
        <v>154914.1176</v>
      </c>
      <c r="T189">
        <f t="shared" si="12"/>
        <v>154848.76</v>
      </c>
      <c r="U189">
        <f t="shared" si="13"/>
        <v>65.357599999988452</v>
      </c>
      <c r="V189" t="str">
        <f t="shared" si="14"/>
        <v>Adult</v>
      </c>
    </row>
    <row r="190" spans="1:22" x14ac:dyDescent="0.35">
      <c r="A190" t="s">
        <v>357</v>
      </c>
      <c r="B190">
        <v>1092</v>
      </c>
      <c r="C190" s="1">
        <v>45169</v>
      </c>
      <c r="D190" s="1" t="str">
        <f t="shared" si="10"/>
        <v>Aug</v>
      </c>
      <c r="E190" t="s">
        <v>176</v>
      </c>
      <c r="F190">
        <v>55</v>
      </c>
      <c r="G190" t="s">
        <v>100</v>
      </c>
      <c r="H190" t="s">
        <v>81</v>
      </c>
      <c r="I190" t="s">
        <v>50</v>
      </c>
      <c r="J190">
        <v>47</v>
      </c>
      <c r="K190" s="4" t="s">
        <v>39</v>
      </c>
      <c r="L190">
        <v>4284.9799999999996</v>
      </c>
      <c r="M190">
        <v>5862.4</v>
      </c>
      <c r="N190" t="s">
        <v>46</v>
      </c>
      <c r="O190" s="30">
        <v>0.28000000000000003</v>
      </c>
      <c r="P190" t="s">
        <v>47</v>
      </c>
      <c r="Q190" t="s">
        <v>27</v>
      </c>
      <c r="R190" t="s">
        <v>28</v>
      </c>
      <c r="S190">
        <f t="shared" si="11"/>
        <v>198383.61599999998</v>
      </c>
      <c r="T190">
        <f t="shared" si="12"/>
        <v>201394.05999999997</v>
      </c>
      <c r="U190">
        <f t="shared" si="13"/>
        <v>-3010.4439999999886</v>
      </c>
      <c r="V190" t="str">
        <f t="shared" si="14"/>
        <v>Senior</v>
      </c>
    </row>
    <row r="191" spans="1:22" x14ac:dyDescent="0.35">
      <c r="A191" t="s">
        <v>358</v>
      </c>
      <c r="B191">
        <v>1089</v>
      </c>
      <c r="C191" s="1">
        <v>45218</v>
      </c>
      <c r="D191" s="1" t="str">
        <f t="shared" si="10"/>
        <v>Oct</v>
      </c>
      <c r="E191" t="s">
        <v>359</v>
      </c>
      <c r="F191">
        <v>54</v>
      </c>
      <c r="G191" t="s">
        <v>100</v>
      </c>
      <c r="H191" t="s">
        <v>38</v>
      </c>
      <c r="I191" t="s">
        <v>44</v>
      </c>
      <c r="J191">
        <v>23</v>
      </c>
      <c r="K191" s="4" t="s">
        <v>39</v>
      </c>
      <c r="L191">
        <v>2120.54</v>
      </c>
      <c r="M191">
        <v>2597.67</v>
      </c>
      <c r="N191" t="s">
        <v>25</v>
      </c>
      <c r="O191" s="30">
        <v>0.26</v>
      </c>
      <c r="P191" t="s">
        <v>47</v>
      </c>
      <c r="Q191" t="s">
        <v>27</v>
      </c>
      <c r="R191" t="s">
        <v>35</v>
      </c>
      <c r="S191">
        <f t="shared" si="11"/>
        <v>44212.343400000005</v>
      </c>
      <c r="T191">
        <f t="shared" si="12"/>
        <v>48772.42</v>
      </c>
      <c r="U191">
        <f t="shared" si="13"/>
        <v>-4560.0765999999931</v>
      </c>
      <c r="V191" t="str">
        <f t="shared" si="14"/>
        <v>Senior</v>
      </c>
    </row>
    <row r="192" spans="1:22" x14ac:dyDescent="0.35">
      <c r="A192" t="s">
        <v>360</v>
      </c>
      <c r="B192">
        <v>1062</v>
      </c>
      <c r="C192" s="1">
        <v>45208</v>
      </c>
      <c r="D192" s="1" t="str">
        <f t="shared" si="10"/>
        <v>Oct</v>
      </c>
      <c r="E192" t="s">
        <v>135</v>
      </c>
      <c r="F192">
        <v>28</v>
      </c>
      <c r="G192" t="s">
        <v>54</v>
      </c>
      <c r="H192" t="s">
        <v>54</v>
      </c>
      <c r="I192" t="s">
        <v>23</v>
      </c>
      <c r="J192">
        <v>4</v>
      </c>
      <c r="K192" s="4" t="s">
        <v>51</v>
      </c>
      <c r="L192">
        <v>1581.59</v>
      </c>
      <c r="M192">
        <v>2034.15</v>
      </c>
      <c r="N192" t="s">
        <v>25</v>
      </c>
      <c r="O192" s="30">
        <v>0.21</v>
      </c>
      <c r="P192" t="s">
        <v>26</v>
      </c>
      <c r="Q192" t="s">
        <v>27</v>
      </c>
      <c r="R192" t="s">
        <v>35</v>
      </c>
      <c r="S192">
        <f t="shared" si="11"/>
        <v>6427.9140000000007</v>
      </c>
      <c r="T192">
        <f t="shared" si="12"/>
        <v>6326.36</v>
      </c>
      <c r="U192">
        <f t="shared" si="13"/>
        <v>101.554000000001</v>
      </c>
      <c r="V192" t="str">
        <f t="shared" si="14"/>
        <v>Adult</v>
      </c>
    </row>
    <row r="193" spans="1:22" x14ac:dyDescent="0.35">
      <c r="A193" t="s">
        <v>361</v>
      </c>
      <c r="B193">
        <v>1097</v>
      </c>
      <c r="C193" s="1">
        <v>45225</v>
      </c>
      <c r="D193" s="1" t="str">
        <f t="shared" si="10"/>
        <v>Oct</v>
      </c>
      <c r="E193" t="s">
        <v>141</v>
      </c>
      <c r="F193">
        <v>53</v>
      </c>
      <c r="G193" t="s">
        <v>31</v>
      </c>
      <c r="H193" t="s">
        <v>32</v>
      </c>
      <c r="I193" t="s">
        <v>23</v>
      </c>
      <c r="J193">
        <v>27</v>
      </c>
      <c r="K193" s="4" t="s">
        <v>51</v>
      </c>
      <c r="L193">
        <v>4686.79</v>
      </c>
      <c r="M193">
        <v>5046.51</v>
      </c>
      <c r="N193" t="s">
        <v>25</v>
      </c>
      <c r="O193" s="30">
        <v>0.05</v>
      </c>
      <c r="P193" t="s">
        <v>47</v>
      </c>
      <c r="Q193" t="s">
        <v>27</v>
      </c>
      <c r="R193" t="s">
        <v>35</v>
      </c>
      <c r="S193">
        <f t="shared" si="11"/>
        <v>129442.98150000001</v>
      </c>
      <c r="T193">
        <f t="shared" si="12"/>
        <v>126543.33</v>
      </c>
      <c r="U193">
        <f t="shared" si="13"/>
        <v>2899.6515000000072</v>
      </c>
      <c r="V193" t="str">
        <f t="shared" si="14"/>
        <v>Senior</v>
      </c>
    </row>
    <row r="194" spans="1:22" x14ac:dyDescent="0.35">
      <c r="A194" t="s">
        <v>362</v>
      </c>
      <c r="B194">
        <v>1001</v>
      </c>
      <c r="C194" s="1">
        <v>45209</v>
      </c>
      <c r="D194" s="1" t="str">
        <f t="shared" si="10"/>
        <v>Oct</v>
      </c>
      <c r="E194" t="s">
        <v>272</v>
      </c>
      <c r="F194">
        <v>30</v>
      </c>
      <c r="G194" t="s">
        <v>100</v>
      </c>
      <c r="H194" t="s">
        <v>22</v>
      </c>
      <c r="I194" t="s">
        <v>44</v>
      </c>
      <c r="J194">
        <v>18</v>
      </c>
      <c r="K194" s="4" t="s">
        <v>24</v>
      </c>
      <c r="L194">
        <v>2602.6</v>
      </c>
      <c r="M194">
        <v>3013.49</v>
      </c>
      <c r="N194" t="s">
        <v>25</v>
      </c>
      <c r="O194" s="30">
        <v>0.08</v>
      </c>
      <c r="P194" t="s">
        <v>40</v>
      </c>
      <c r="Q194" t="s">
        <v>27</v>
      </c>
      <c r="R194" t="s">
        <v>35</v>
      </c>
      <c r="S194">
        <f t="shared" si="11"/>
        <v>49903.394399999997</v>
      </c>
      <c r="T194">
        <f t="shared" si="12"/>
        <v>46846.799999999996</v>
      </c>
      <c r="U194">
        <f t="shared" si="13"/>
        <v>3056.5944000000018</v>
      </c>
      <c r="V194" t="str">
        <f t="shared" si="14"/>
        <v>Adult</v>
      </c>
    </row>
    <row r="195" spans="1:22" x14ac:dyDescent="0.35">
      <c r="A195" t="s">
        <v>363</v>
      </c>
      <c r="B195">
        <v>1027</v>
      </c>
      <c r="C195" s="1">
        <v>44995</v>
      </c>
      <c r="D195" s="1" t="str">
        <f t="shared" ref="D195:D258" si="15">TEXT(C195,"mmm")</f>
        <v>Mar</v>
      </c>
      <c r="E195" t="s">
        <v>58</v>
      </c>
      <c r="F195">
        <v>60</v>
      </c>
      <c r="G195" t="s">
        <v>100</v>
      </c>
      <c r="H195" t="s">
        <v>54</v>
      </c>
      <c r="I195" t="s">
        <v>33</v>
      </c>
      <c r="J195">
        <v>21</v>
      </c>
      <c r="K195" s="4" t="s">
        <v>39</v>
      </c>
      <c r="L195">
        <v>2511.41</v>
      </c>
      <c r="M195">
        <v>2848.4</v>
      </c>
      <c r="N195" t="s">
        <v>25</v>
      </c>
      <c r="O195" s="30">
        <v>0.06</v>
      </c>
      <c r="P195" t="s">
        <v>40</v>
      </c>
      <c r="Q195" t="s">
        <v>27</v>
      </c>
      <c r="R195" t="s">
        <v>28</v>
      </c>
      <c r="S195">
        <f t="shared" ref="S195:S258" si="16">J195*M195*(1-O195)</f>
        <v>56227.415999999997</v>
      </c>
      <c r="T195">
        <f t="shared" ref="T195:T258" si="17">L195*J195</f>
        <v>52739.61</v>
      </c>
      <c r="U195">
        <f t="shared" ref="U195:U258" si="18">S195-T195</f>
        <v>3487.8059999999969</v>
      </c>
      <c r="V195" t="str">
        <f t="shared" ref="V195:V258" si="19">_xlfn.IFS(
F195&lt;25,"Young",
F195&lt;=40,"Adult",
F195&gt;40,"Senior"
)</f>
        <v>Senior</v>
      </c>
    </row>
    <row r="196" spans="1:22" x14ac:dyDescent="0.35">
      <c r="A196" t="s">
        <v>364</v>
      </c>
      <c r="B196">
        <v>1062</v>
      </c>
      <c r="C196" s="1">
        <v>45074</v>
      </c>
      <c r="D196" s="1" t="str">
        <f t="shared" si="15"/>
        <v>May</v>
      </c>
      <c r="E196" t="s">
        <v>309</v>
      </c>
      <c r="F196">
        <v>20</v>
      </c>
      <c r="G196" t="s">
        <v>65</v>
      </c>
      <c r="H196" t="s">
        <v>22</v>
      </c>
      <c r="I196" t="s">
        <v>33</v>
      </c>
      <c r="J196">
        <v>28</v>
      </c>
      <c r="K196" s="4" t="s">
        <v>51</v>
      </c>
      <c r="L196">
        <v>933.16</v>
      </c>
      <c r="M196">
        <v>1004.7</v>
      </c>
      <c r="N196" t="s">
        <v>25</v>
      </c>
      <c r="O196" s="30">
        <v>0.18</v>
      </c>
      <c r="P196" t="s">
        <v>40</v>
      </c>
      <c r="Q196" t="s">
        <v>27</v>
      </c>
      <c r="R196" t="s">
        <v>41</v>
      </c>
      <c r="S196">
        <f t="shared" si="16"/>
        <v>23067.912000000004</v>
      </c>
      <c r="T196">
        <f t="shared" si="17"/>
        <v>26128.48</v>
      </c>
      <c r="U196">
        <f t="shared" si="18"/>
        <v>-3060.5679999999957</v>
      </c>
      <c r="V196" t="str">
        <f t="shared" si="19"/>
        <v>Young</v>
      </c>
    </row>
    <row r="197" spans="1:22" x14ac:dyDescent="0.35">
      <c r="A197" t="s">
        <v>365</v>
      </c>
      <c r="B197">
        <v>1077</v>
      </c>
      <c r="C197" s="1">
        <v>44937</v>
      </c>
      <c r="D197" s="1" t="str">
        <f t="shared" si="15"/>
        <v>Jan</v>
      </c>
      <c r="E197" t="s">
        <v>182</v>
      </c>
      <c r="F197">
        <v>50</v>
      </c>
      <c r="G197" t="s">
        <v>21</v>
      </c>
      <c r="H197" t="s">
        <v>38</v>
      </c>
      <c r="I197" t="s">
        <v>23</v>
      </c>
      <c r="J197">
        <v>35</v>
      </c>
      <c r="K197" s="4" t="s">
        <v>51</v>
      </c>
      <c r="L197">
        <v>585.37</v>
      </c>
      <c r="M197">
        <v>970.49</v>
      </c>
      <c r="N197" t="s">
        <v>25</v>
      </c>
      <c r="O197" s="30">
        <v>0.15</v>
      </c>
      <c r="P197" t="s">
        <v>40</v>
      </c>
      <c r="Q197" t="s">
        <v>34</v>
      </c>
      <c r="R197" t="s">
        <v>28</v>
      </c>
      <c r="S197">
        <f t="shared" si="16"/>
        <v>28872.077499999999</v>
      </c>
      <c r="T197">
        <f t="shared" si="17"/>
        <v>20487.95</v>
      </c>
      <c r="U197">
        <f t="shared" si="18"/>
        <v>8384.1274999999987</v>
      </c>
      <c r="V197" t="str">
        <f t="shared" si="19"/>
        <v>Senior</v>
      </c>
    </row>
    <row r="198" spans="1:22" x14ac:dyDescent="0.35">
      <c r="A198" t="s">
        <v>366</v>
      </c>
      <c r="B198">
        <v>1003</v>
      </c>
      <c r="C198" s="1">
        <v>45180</v>
      </c>
      <c r="D198" s="1" t="str">
        <f t="shared" si="15"/>
        <v>Sep</v>
      </c>
      <c r="E198" t="s">
        <v>287</v>
      </c>
      <c r="F198">
        <v>23</v>
      </c>
      <c r="G198" t="s">
        <v>54</v>
      </c>
      <c r="H198" t="s">
        <v>38</v>
      </c>
      <c r="I198" t="s">
        <v>23</v>
      </c>
      <c r="J198">
        <v>22</v>
      </c>
      <c r="K198" s="4" t="s">
        <v>39</v>
      </c>
      <c r="L198">
        <v>4218.43</v>
      </c>
      <c r="M198">
        <v>5331.42</v>
      </c>
      <c r="N198" t="s">
        <v>46</v>
      </c>
      <c r="O198" s="30">
        <v>0.26</v>
      </c>
      <c r="P198" t="s">
        <v>40</v>
      </c>
      <c r="Q198" t="s">
        <v>34</v>
      </c>
      <c r="R198" t="s">
        <v>41</v>
      </c>
      <c r="S198">
        <f t="shared" si="16"/>
        <v>86795.517600000006</v>
      </c>
      <c r="T198">
        <f t="shared" si="17"/>
        <v>92805.46</v>
      </c>
      <c r="U198">
        <f t="shared" si="18"/>
        <v>-6009.9423999999999</v>
      </c>
      <c r="V198" t="str">
        <f t="shared" si="19"/>
        <v>Young</v>
      </c>
    </row>
    <row r="199" spans="1:22" x14ac:dyDescent="0.35">
      <c r="A199" t="s">
        <v>367</v>
      </c>
      <c r="B199">
        <v>1070</v>
      </c>
      <c r="C199" s="1">
        <v>45256</v>
      </c>
      <c r="D199" s="1" t="str">
        <f t="shared" si="15"/>
        <v>Nov</v>
      </c>
      <c r="E199" t="s">
        <v>368</v>
      </c>
      <c r="F199">
        <v>27</v>
      </c>
      <c r="G199" t="s">
        <v>54</v>
      </c>
      <c r="H199" t="s">
        <v>81</v>
      </c>
      <c r="I199" t="s">
        <v>33</v>
      </c>
      <c r="J199">
        <v>40</v>
      </c>
      <c r="K199" s="4" t="s">
        <v>24</v>
      </c>
      <c r="L199">
        <v>3089.96</v>
      </c>
      <c r="M199">
        <v>4058.45</v>
      </c>
      <c r="N199" t="s">
        <v>46</v>
      </c>
      <c r="O199" s="30">
        <v>0.28999999999999998</v>
      </c>
      <c r="P199" t="s">
        <v>26</v>
      </c>
      <c r="Q199" t="s">
        <v>34</v>
      </c>
      <c r="R199" t="s">
        <v>35</v>
      </c>
      <c r="S199">
        <f t="shared" si="16"/>
        <v>115259.98</v>
      </c>
      <c r="T199">
        <f t="shared" si="17"/>
        <v>123598.39999999999</v>
      </c>
      <c r="U199">
        <f t="shared" si="18"/>
        <v>-8338.4199999999983</v>
      </c>
      <c r="V199" t="str">
        <f t="shared" si="19"/>
        <v>Adult</v>
      </c>
    </row>
    <row r="200" spans="1:22" x14ac:dyDescent="0.35">
      <c r="A200" t="s">
        <v>369</v>
      </c>
      <c r="B200">
        <v>1072</v>
      </c>
      <c r="C200" s="1">
        <v>45286</v>
      </c>
      <c r="D200" s="1" t="str">
        <f t="shared" si="15"/>
        <v>Dec</v>
      </c>
      <c r="E200" t="s">
        <v>327</v>
      </c>
      <c r="F200">
        <v>22</v>
      </c>
      <c r="G200" t="s">
        <v>31</v>
      </c>
      <c r="H200" t="s">
        <v>32</v>
      </c>
      <c r="I200" t="s">
        <v>50</v>
      </c>
      <c r="J200">
        <v>23</v>
      </c>
      <c r="K200" s="4" t="s">
        <v>24</v>
      </c>
      <c r="L200">
        <v>1662.83</v>
      </c>
      <c r="M200">
        <v>2074.25</v>
      </c>
      <c r="N200" t="s">
        <v>46</v>
      </c>
      <c r="O200" s="30">
        <v>0.12</v>
      </c>
      <c r="P200" t="s">
        <v>40</v>
      </c>
      <c r="Q200" t="s">
        <v>34</v>
      </c>
      <c r="R200" t="s">
        <v>41</v>
      </c>
      <c r="S200">
        <f t="shared" si="16"/>
        <v>41982.82</v>
      </c>
      <c r="T200">
        <f t="shared" si="17"/>
        <v>38245.089999999997</v>
      </c>
      <c r="U200">
        <f t="shared" si="18"/>
        <v>3737.7300000000032</v>
      </c>
      <c r="V200" t="str">
        <f t="shared" si="19"/>
        <v>Young</v>
      </c>
    </row>
    <row r="201" spans="1:22" x14ac:dyDescent="0.35">
      <c r="A201" t="s">
        <v>370</v>
      </c>
      <c r="B201">
        <v>1027</v>
      </c>
      <c r="C201" s="1">
        <v>44964</v>
      </c>
      <c r="D201" s="1" t="str">
        <f t="shared" si="15"/>
        <v>Feb</v>
      </c>
      <c r="E201" t="s">
        <v>108</v>
      </c>
      <c r="F201">
        <v>40</v>
      </c>
      <c r="G201" t="s">
        <v>31</v>
      </c>
      <c r="H201" t="s">
        <v>22</v>
      </c>
      <c r="I201" t="s">
        <v>44</v>
      </c>
      <c r="J201">
        <v>3</v>
      </c>
      <c r="K201" s="4" t="s">
        <v>39</v>
      </c>
      <c r="L201">
        <v>999.09</v>
      </c>
      <c r="M201">
        <v>1271.99</v>
      </c>
      <c r="N201" t="s">
        <v>46</v>
      </c>
      <c r="O201" s="30">
        <v>0.15</v>
      </c>
      <c r="P201" t="s">
        <v>47</v>
      </c>
      <c r="Q201" t="s">
        <v>34</v>
      </c>
      <c r="R201" t="s">
        <v>28</v>
      </c>
      <c r="S201">
        <f t="shared" si="16"/>
        <v>3243.5745000000002</v>
      </c>
      <c r="T201">
        <f t="shared" si="17"/>
        <v>2997.27</v>
      </c>
      <c r="U201">
        <f t="shared" si="18"/>
        <v>246.30450000000019</v>
      </c>
      <c r="V201" t="str">
        <f t="shared" si="19"/>
        <v>Adult</v>
      </c>
    </row>
    <row r="202" spans="1:22" x14ac:dyDescent="0.35">
      <c r="A202" t="s">
        <v>371</v>
      </c>
      <c r="B202">
        <v>1009</v>
      </c>
      <c r="C202" s="1">
        <v>45060</v>
      </c>
      <c r="D202" s="1" t="str">
        <f t="shared" si="15"/>
        <v>May</v>
      </c>
      <c r="E202" t="s">
        <v>108</v>
      </c>
      <c r="F202">
        <v>27</v>
      </c>
      <c r="G202" t="s">
        <v>54</v>
      </c>
      <c r="H202" t="s">
        <v>54</v>
      </c>
      <c r="I202" t="s">
        <v>23</v>
      </c>
      <c r="J202">
        <v>40</v>
      </c>
      <c r="K202" s="4" t="s">
        <v>24</v>
      </c>
      <c r="L202">
        <v>2799.71</v>
      </c>
      <c r="M202">
        <v>4231.08</v>
      </c>
      <c r="N202" t="s">
        <v>25</v>
      </c>
      <c r="O202" s="30">
        <v>0.28999999999999998</v>
      </c>
      <c r="P202" t="s">
        <v>47</v>
      </c>
      <c r="Q202" t="s">
        <v>34</v>
      </c>
      <c r="R202" t="s">
        <v>28</v>
      </c>
      <c r="S202">
        <f t="shared" si="16"/>
        <v>120162.67200000001</v>
      </c>
      <c r="T202">
        <f t="shared" si="17"/>
        <v>111988.4</v>
      </c>
      <c r="U202">
        <f t="shared" si="18"/>
        <v>8174.2720000000118</v>
      </c>
      <c r="V202" t="str">
        <f t="shared" si="19"/>
        <v>Adult</v>
      </c>
    </row>
    <row r="203" spans="1:22" x14ac:dyDescent="0.35">
      <c r="A203" t="s">
        <v>372</v>
      </c>
      <c r="B203">
        <v>1062</v>
      </c>
      <c r="C203" s="1">
        <v>45126</v>
      </c>
      <c r="D203" s="1" t="str">
        <f t="shared" si="15"/>
        <v>Jul</v>
      </c>
      <c r="E203" t="s">
        <v>148</v>
      </c>
      <c r="F203">
        <v>61</v>
      </c>
      <c r="G203" t="s">
        <v>31</v>
      </c>
      <c r="H203" t="s">
        <v>38</v>
      </c>
      <c r="I203" t="s">
        <v>23</v>
      </c>
      <c r="J203">
        <v>10</v>
      </c>
      <c r="K203" s="4" t="s">
        <v>51</v>
      </c>
      <c r="L203">
        <v>2940.4</v>
      </c>
      <c r="M203">
        <v>3054.79</v>
      </c>
      <c r="N203" t="s">
        <v>25</v>
      </c>
      <c r="O203" s="30">
        <v>0.08</v>
      </c>
      <c r="P203" t="s">
        <v>47</v>
      </c>
      <c r="Q203" t="s">
        <v>27</v>
      </c>
      <c r="R203" t="s">
        <v>35</v>
      </c>
      <c r="S203">
        <f t="shared" si="16"/>
        <v>28104.068000000003</v>
      </c>
      <c r="T203">
        <f t="shared" si="17"/>
        <v>29404</v>
      </c>
      <c r="U203">
        <f t="shared" si="18"/>
        <v>-1299.9319999999971</v>
      </c>
      <c r="V203" t="str">
        <f t="shared" si="19"/>
        <v>Senior</v>
      </c>
    </row>
    <row r="204" spans="1:22" x14ac:dyDescent="0.35">
      <c r="A204" t="s">
        <v>373</v>
      </c>
      <c r="B204">
        <v>1037</v>
      </c>
      <c r="C204" s="1">
        <v>44949</v>
      </c>
      <c r="D204" s="1" t="str">
        <f t="shared" si="15"/>
        <v>Jan</v>
      </c>
      <c r="E204" t="s">
        <v>374</v>
      </c>
      <c r="F204">
        <v>19</v>
      </c>
      <c r="G204" t="s">
        <v>65</v>
      </c>
      <c r="H204" t="s">
        <v>81</v>
      </c>
      <c r="I204" t="s">
        <v>33</v>
      </c>
      <c r="J204">
        <v>25</v>
      </c>
      <c r="K204" s="4" t="s">
        <v>39</v>
      </c>
      <c r="L204">
        <v>1074.6199999999999</v>
      </c>
      <c r="M204">
        <v>1382.43</v>
      </c>
      <c r="N204" t="s">
        <v>25</v>
      </c>
      <c r="O204" s="30">
        <v>0.24</v>
      </c>
      <c r="P204" t="s">
        <v>47</v>
      </c>
      <c r="Q204" t="s">
        <v>27</v>
      </c>
      <c r="R204" t="s">
        <v>28</v>
      </c>
      <c r="S204">
        <f t="shared" si="16"/>
        <v>26266.170000000002</v>
      </c>
      <c r="T204">
        <f t="shared" si="17"/>
        <v>26865.499999999996</v>
      </c>
      <c r="U204">
        <f t="shared" si="18"/>
        <v>-599.32999999999447</v>
      </c>
      <c r="V204" t="str">
        <f t="shared" si="19"/>
        <v>Young</v>
      </c>
    </row>
    <row r="205" spans="1:22" x14ac:dyDescent="0.35">
      <c r="A205" t="s">
        <v>375</v>
      </c>
      <c r="B205">
        <v>1097</v>
      </c>
      <c r="C205" s="1">
        <v>45229</v>
      </c>
      <c r="D205" s="1" t="str">
        <f t="shared" si="15"/>
        <v>Oct</v>
      </c>
      <c r="E205" t="s">
        <v>170</v>
      </c>
      <c r="F205">
        <v>30</v>
      </c>
      <c r="G205" t="s">
        <v>54</v>
      </c>
      <c r="H205" t="s">
        <v>81</v>
      </c>
      <c r="I205" t="s">
        <v>44</v>
      </c>
      <c r="J205">
        <v>49</v>
      </c>
      <c r="K205" s="4" t="s">
        <v>51</v>
      </c>
      <c r="L205">
        <v>4264.46</v>
      </c>
      <c r="M205">
        <v>4315.5200000000004</v>
      </c>
      <c r="N205" t="s">
        <v>46</v>
      </c>
      <c r="O205" s="30">
        <v>7.0000000000000007E-2</v>
      </c>
      <c r="P205" t="s">
        <v>26</v>
      </c>
      <c r="Q205" t="s">
        <v>34</v>
      </c>
      <c r="R205" t="s">
        <v>35</v>
      </c>
      <c r="S205">
        <f t="shared" si="16"/>
        <v>196658.2464</v>
      </c>
      <c r="T205">
        <f t="shared" si="17"/>
        <v>208958.54</v>
      </c>
      <c r="U205">
        <f t="shared" si="18"/>
        <v>-12300.293600000005</v>
      </c>
      <c r="V205" t="str">
        <f t="shared" si="19"/>
        <v>Adult</v>
      </c>
    </row>
    <row r="206" spans="1:22" x14ac:dyDescent="0.35">
      <c r="A206" t="s">
        <v>376</v>
      </c>
      <c r="B206">
        <v>1051</v>
      </c>
      <c r="C206" s="1">
        <v>45272</v>
      </c>
      <c r="D206" s="1" t="str">
        <f t="shared" si="15"/>
        <v>Dec</v>
      </c>
      <c r="E206" t="s">
        <v>156</v>
      </c>
      <c r="F206">
        <v>57</v>
      </c>
      <c r="G206" t="s">
        <v>31</v>
      </c>
      <c r="H206" t="s">
        <v>22</v>
      </c>
      <c r="I206" t="s">
        <v>33</v>
      </c>
      <c r="J206">
        <v>8</v>
      </c>
      <c r="K206" s="4" t="s">
        <v>45</v>
      </c>
      <c r="L206">
        <v>467.11</v>
      </c>
      <c r="M206">
        <v>792.21</v>
      </c>
      <c r="N206" t="s">
        <v>46</v>
      </c>
      <c r="O206" s="30">
        <v>0.2</v>
      </c>
      <c r="P206" t="s">
        <v>47</v>
      </c>
      <c r="Q206" t="s">
        <v>34</v>
      </c>
      <c r="R206" t="s">
        <v>28</v>
      </c>
      <c r="S206">
        <f t="shared" si="16"/>
        <v>5070.1440000000002</v>
      </c>
      <c r="T206">
        <f t="shared" si="17"/>
        <v>3736.88</v>
      </c>
      <c r="U206">
        <f t="shared" si="18"/>
        <v>1333.2640000000001</v>
      </c>
      <c r="V206" t="str">
        <f t="shared" si="19"/>
        <v>Senior</v>
      </c>
    </row>
    <row r="207" spans="1:22" x14ac:dyDescent="0.35">
      <c r="A207" t="s">
        <v>377</v>
      </c>
      <c r="B207">
        <v>1044</v>
      </c>
      <c r="C207" s="1">
        <v>45228</v>
      </c>
      <c r="D207" s="1" t="str">
        <f t="shared" si="15"/>
        <v>Oct</v>
      </c>
      <c r="E207" t="s">
        <v>298</v>
      </c>
      <c r="F207">
        <v>19</v>
      </c>
      <c r="G207" t="s">
        <v>54</v>
      </c>
      <c r="H207" t="s">
        <v>38</v>
      </c>
      <c r="I207" t="s">
        <v>44</v>
      </c>
      <c r="J207">
        <v>11</v>
      </c>
      <c r="K207" s="4" t="s">
        <v>45</v>
      </c>
      <c r="L207">
        <v>1812.66</v>
      </c>
      <c r="M207">
        <v>2196.3000000000002</v>
      </c>
      <c r="N207" t="s">
        <v>46</v>
      </c>
      <c r="O207" s="30">
        <v>0.08</v>
      </c>
      <c r="P207" t="s">
        <v>26</v>
      </c>
      <c r="Q207" t="s">
        <v>27</v>
      </c>
      <c r="R207" t="s">
        <v>28</v>
      </c>
      <c r="S207">
        <f t="shared" si="16"/>
        <v>22226.556000000004</v>
      </c>
      <c r="T207">
        <f t="shared" si="17"/>
        <v>19939.260000000002</v>
      </c>
      <c r="U207">
        <f t="shared" si="18"/>
        <v>2287.2960000000021</v>
      </c>
      <c r="V207" t="str">
        <f t="shared" si="19"/>
        <v>Young</v>
      </c>
    </row>
    <row r="208" spans="1:22" x14ac:dyDescent="0.35">
      <c r="A208" t="s">
        <v>378</v>
      </c>
      <c r="B208">
        <v>1024</v>
      </c>
      <c r="C208" s="1">
        <v>45289</v>
      </c>
      <c r="D208" s="1" t="str">
        <f t="shared" si="15"/>
        <v>Dec</v>
      </c>
      <c r="E208" t="s">
        <v>246</v>
      </c>
      <c r="F208">
        <v>37</v>
      </c>
      <c r="G208" t="s">
        <v>21</v>
      </c>
      <c r="H208" t="s">
        <v>32</v>
      </c>
      <c r="I208" t="s">
        <v>44</v>
      </c>
      <c r="J208">
        <v>5</v>
      </c>
      <c r="K208" s="4" t="s">
        <v>24</v>
      </c>
      <c r="L208">
        <v>3417.9</v>
      </c>
      <c r="M208">
        <v>3714.52</v>
      </c>
      <c r="N208" t="s">
        <v>25</v>
      </c>
      <c r="O208" s="30">
        <v>0.27</v>
      </c>
      <c r="P208" t="s">
        <v>47</v>
      </c>
      <c r="Q208" t="s">
        <v>27</v>
      </c>
      <c r="R208" t="s">
        <v>35</v>
      </c>
      <c r="S208">
        <f t="shared" si="16"/>
        <v>13557.997999999998</v>
      </c>
      <c r="T208">
        <f t="shared" si="17"/>
        <v>17089.5</v>
      </c>
      <c r="U208">
        <f t="shared" si="18"/>
        <v>-3531.5020000000022</v>
      </c>
      <c r="V208" t="str">
        <f t="shared" si="19"/>
        <v>Adult</v>
      </c>
    </row>
    <row r="209" spans="1:22" x14ac:dyDescent="0.35">
      <c r="A209" t="s">
        <v>379</v>
      </c>
      <c r="B209">
        <v>1079</v>
      </c>
      <c r="C209" s="1">
        <v>45144</v>
      </c>
      <c r="D209" s="1" t="str">
        <f t="shared" si="15"/>
        <v>Aug</v>
      </c>
      <c r="E209" t="s">
        <v>380</v>
      </c>
      <c r="F209">
        <v>18</v>
      </c>
      <c r="G209" t="s">
        <v>100</v>
      </c>
      <c r="H209" t="s">
        <v>38</v>
      </c>
      <c r="I209" t="s">
        <v>44</v>
      </c>
      <c r="J209">
        <v>45</v>
      </c>
      <c r="K209" s="4" t="s">
        <v>45</v>
      </c>
      <c r="L209">
        <v>1406.9</v>
      </c>
      <c r="M209">
        <v>1547.35</v>
      </c>
      <c r="N209" t="s">
        <v>46</v>
      </c>
      <c r="O209" s="30">
        <v>0.17</v>
      </c>
      <c r="P209" t="s">
        <v>26</v>
      </c>
      <c r="Q209" t="s">
        <v>27</v>
      </c>
      <c r="R209" t="s">
        <v>41</v>
      </c>
      <c r="S209">
        <f t="shared" si="16"/>
        <v>57793.522499999999</v>
      </c>
      <c r="T209">
        <f t="shared" si="17"/>
        <v>63310.500000000007</v>
      </c>
      <c r="U209">
        <f t="shared" si="18"/>
        <v>-5516.9775000000081</v>
      </c>
      <c r="V209" t="str">
        <f t="shared" si="19"/>
        <v>Young</v>
      </c>
    </row>
    <row r="210" spans="1:22" x14ac:dyDescent="0.35">
      <c r="A210" t="s">
        <v>381</v>
      </c>
      <c r="B210">
        <v>1059</v>
      </c>
      <c r="C210" s="1">
        <v>45067</v>
      </c>
      <c r="D210" s="1" t="str">
        <f t="shared" si="15"/>
        <v>May</v>
      </c>
      <c r="E210" t="s">
        <v>382</v>
      </c>
      <c r="F210">
        <v>54</v>
      </c>
      <c r="G210" t="s">
        <v>54</v>
      </c>
      <c r="H210" t="s">
        <v>22</v>
      </c>
      <c r="I210" t="s">
        <v>23</v>
      </c>
      <c r="J210">
        <v>37</v>
      </c>
      <c r="K210" s="4" t="s">
        <v>51</v>
      </c>
      <c r="L210">
        <v>4146.99</v>
      </c>
      <c r="M210">
        <v>4172.3500000000004</v>
      </c>
      <c r="N210" t="s">
        <v>25</v>
      </c>
      <c r="O210" s="30">
        <v>0.06</v>
      </c>
      <c r="P210" t="s">
        <v>26</v>
      </c>
      <c r="Q210" t="s">
        <v>34</v>
      </c>
      <c r="R210" t="s">
        <v>28</v>
      </c>
      <c r="S210">
        <f t="shared" si="16"/>
        <v>145114.33300000001</v>
      </c>
      <c r="T210">
        <f t="shared" si="17"/>
        <v>153438.63</v>
      </c>
      <c r="U210">
        <f t="shared" si="18"/>
        <v>-8324.2969999999914</v>
      </c>
      <c r="V210" t="str">
        <f t="shared" si="19"/>
        <v>Senior</v>
      </c>
    </row>
    <row r="211" spans="1:22" x14ac:dyDescent="0.35">
      <c r="A211" t="s">
        <v>383</v>
      </c>
      <c r="B211">
        <v>1032</v>
      </c>
      <c r="C211" s="1">
        <v>45030</v>
      </c>
      <c r="D211" s="1" t="str">
        <f t="shared" si="15"/>
        <v>Apr</v>
      </c>
      <c r="E211" t="s">
        <v>292</v>
      </c>
      <c r="F211">
        <v>26</v>
      </c>
      <c r="G211" t="s">
        <v>100</v>
      </c>
      <c r="H211" t="s">
        <v>22</v>
      </c>
      <c r="I211" t="s">
        <v>50</v>
      </c>
      <c r="J211">
        <v>45</v>
      </c>
      <c r="K211" s="4" t="s">
        <v>45</v>
      </c>
      <c r="L211">
        <v>3712.35</v>
      </c>
      <c r="M211">
        <v>3780.88</v>
      </c>
      <c r="N211" t="s">
        <v>46</v>
      </c>
      <c r="O211" s="30">
        <v>7.0000000000000007E-2</v>
      </c>
      <c r="P211" t="s">
        <v>26</v>
      </c>
      <c r="Q211" t="s">
        <v>27</v>
      </c>
      <c r="R211" t="s">
        <v>41</v>
      </c>
      <c r="S211">
        <f t="shared" si="16"/>
        <v>158229.82800000001</v>
      </c>
      <c r="T211">
        <f t="shared" si="17"/>
        <v>167055.75</v>
      </c>
      <c r="U211">
        <f t="shared" si="18"/>
        <v>-8825.9219999999914</v>
      </c>
      <c r="V211" t="str">
        <f t="shared" si="19"/>
        <v>Adult</v>
      </c>
    </row>
    <row r="212" spans="1:22" x14ac:dyDescent="0.35">
      <c r="A212" t="s">
        <v>384</v>
      </c>
      <c r="B212">
        <v>1096</v>
      </c>
      <c r="C212" s="1">
        <v>45136</v>
      </c>
      <c r="D212" s="1" t="str">
        <f t="shared" si="15"/>
        <v>Jul</v>
      </c>
      <c r="E212" t="s">
        <v>64</v>
      </c>
      <c r="F212">
        <v>34</v>
      </c>
      <c r="G212" t="s">
        <v>31</v>
      </c>
      <c r="H212" t="s">
        <v>38</v>
      </c>
      <c r="I212" t="s">
        <v>33</v>
      </c>
      <c r="J212">
        <v>38</v>
      </c>
      <c r="K212" s="4" t="s">
        <v>51</v>
      </c>
      <c r="L212">
        <v>3955.66</v>
      </c>
      <c r="M212">
        <v>4270.59</v>
      </c>
      <c r="N212" t="s">
        <v>25</v>
      </c>
      <c r="O212" s="30">
        <v>0.15</v>
      </c>
      <c r="P212" t="s">
        <v>47</v>
      </c>
      <c r="Q212" t="s">
        <v>34</v>
      </c>
      <c r="R212" t="s">
        <v>28</v>
      </c>
      <c r="S212">
        <f t="shared" si="16"/>
        <v>137940.057</v>
      </c>
      <c r="T212">
        <f t="shared" si="17"/>
        <v>150315.07999999999</v>
      </c>
      <c r="U212">
        <f t="shared" si="18"/>
        <v>-12375.022999999986</v>
      </c>
      <c r="V212" t="str">
        <f t="shared" si="19"/>
        <v>Adult</v>
      </c>
    </row>
    <row r="213" spans="1:22" x14ac:dyDescent="0.35">
      <c r="A213" t="s">
        <v>385</v>
      </c>
      <c r="B213">
        <v>1088</v>
      </c>
      <c r="C213" s="1">
        <v>45037</v>
      </c>
      <c r="D213" s="1" t="str">
        <f t="shared" si="15"/>
        <v>Apr</v>
      </c>
      <c r="E213" t="s">
        <v>386</v>
      </c>
      <c r="F213">
        <v>26</v>
      </c>
      <c r="G213" t="s">
        <v>100</v>
      </c>
      <c r="H213" t="s">
        <v>22</v>
      </c>
      <c r="I213" t="s">
        <v>50</v>
      </c>
      <c r="J213">
        <v>29</v>
      </c>
      <c r="K213" s="4" t="s">
        <v>24</v>
      </c>
      <c r="L213">
        <v>639.58000000000004</v>
      </c>
      <c r="M213">
        <v>1107.45</v>
      </c>
      <c r="N213" t="s">
        <v>46</v>
      </c>
      <c r="O213" s="30">
        <v>0.28999999999999998</v>
      </c>
      <c r="P213" t="s">
        <v>26</v>
      </c>
      <c r="Q213" t="s">
        <v>34</v>
      </c>
      <c r="R213" t="s">
        <v>28</v>
      </c>
      <c r="S213">
        <f t="shared" si="16"/>
        <v>22802.395500000002</v>
      </c>
      <c r="T213">
        <f t="shared" si="17"/>
        <v>18547.82</v>
      </c>
      <c r="U213">
        <f t="shared" si="18"/>
        <v>4254.5755000000026</v>
      </c>
      <c r="V213" t="str">
        <f t="shared" si="19"/>
        <v>Adult</v>
      </c>
    </row>
    <row r="214" spans="1:22" x14ac:dyDescent="0.35">
      <c r="A214" t="s">
        <v>387</v>
      </c>
      <c r="B214">
        <v>1052</v>
      </c>
      <c r="C214" s="1">
        <v>45030</v>
      </c>
      <c r="D214" s="1" t="str">
        <f t="shared" si="15"/>
        <v>Apr</v>
      </c>
      <c r="E214" t="s">
        <v>274</v>
      </c>
      <c r="F214">
        <v>28</v>
      </c>
      <c r="G214" t="s">
        <v>54</v>
      </c>
      <c r="H214" t="s">
        <v>38</v>
      </c>
      <c r="I214" t="s">
        <v>33</v>
      </c>
      <c r="J214">
        <v>5</v>
      </c>
      <c r="K214" s="4" t="s">
        <v>24</v>
      </c>
      <c r="L214">
        <v>745.71</v>
      </c>
      <c r="M214">
        <v>856.91</v>
      </c>
      <c r="N214" t="s">
        <v>25</v>
      </c>
      <c r="O214" s="30">
        <v>0.23</v>
      </c>
      <c r="P214" t="s">
        <v>40</v>
      </c>
      <c r="Q214" t="s">
        <v>27</v>
      </c>
      <c r="R214" t="s">
        <v>28</v>
      </c>
      <c r="S214">
        <f t="shared" si="16"/>
        <v>3299.1035000000002</v>
      </c>
      <c r="T214">
        <f t="shared" si="17"/>
        <v>3728.55</v>
      </c>
      <c r="U214">
        <f t="shared" si="18"/>
        <v>-429.44650000000001</v>
      </c>
      <c r="V214" t="str">
        <f t="shared" si="19"/>
        <v>Adult</v>
      </c>
    </row>
    <row r="215" spans="1:22" x14ac:dyDescent="0.35">
      <c r="A215" t="s">
        <v>388</v>
      </c>
      <c r="B215">
        <v>1062</v>
      </c>
      <c r="C215" s="1">
        <v>45242</v>
      </c>
      <c r="D215" s="1" t="str">
        <f t="shared" si="15"/>
        <v>Nov</v>
      </c>
      <c r="E215" t="s">
        <v>222</v>
      </c>
      <c r="F215">
        <v>32</v>
      </c>
      <c r="G215" t="s">
        <v>21</v>
      </c>
      <c r="H215" t="s">
        <v>54</v>
      </c>
      <c r="I215" t="s">
        <v>44</v>
      </c>
      <c r="J215">
        <v>9</v>
      </c>
      <c r="K215" s="4" t="s">
        <v>51</v>
      </c>
      <c r="L215">
        <v>1468.05</v>
      </c>
      <c r="M215">
        <v>1838.21</v>
      </c>
      <c r="N215" t="s">
        <v>46</v>
      </c>
      <c r="O215" s="30">
        <v>0.15</v>
      </c>
      <c r="P215" t="s">
        <v>40</v>
      </c>
      <c r="Q215" t="s">
        <v>27</v>
      </c>
      <c r="R215" t="s">
        <v>28</v>
      </c>
      <c r="S215">
        <f t="shared" si="16"/>
        <v>14062.306499999999</v>
      </c>
      <c r="T215">
        <f t="shared" si="17"/>
        <v>13212.449999999999</v>
      </c>
      <c r="U215">
        <f t="shared" si="18"/>
        <v>849.85649999999987</v>
      </c>
      <c r="V215" t="str">
        <f t="shared" si="19"/>
        <v>Adult</v>
      </c>
    </row>
    <row r="216" spans="1:22" x14ac:dyDescent="0.35">
      <c r="A216" t="s">
        <v>389</v>
      </c>
      <c r="B216">
        <v>1058</v>
      </c>
      <c r="C216" s="1">
        <v>45097</v>
      </c>
      <c r="D216" s="1" t="str">
        <f t="shared" si="15"/>
        <v>Jun</v>
      </c>
      <c r="E216" t="s">
        <v>390</v>
      </c>
      <c r="F216">
        <v>41</v>
      </c>
      <c r="G216" t="s">
        <v>31</v>
      </c>
      <c r="H216" t="s">
        <v>38</v>
      </c>
      <c r="I216" t="s">
        <v>23</v>
      </c>
      <c r="J216">
        <v>48</v>
      </c>
      <c r="K216" s="4" t="s">
        <v>45</v>
      </c>
      <c r="L216">
        <v>2614.48</v>
      </c>
      <c r="M216">
        <v>3049.04</v>
      </c>
      <c r="N216" t="s">
        <v>46</v>
      </c>
      <c r="O216" s="30">
        <v>0.1</v>
      </c>
      <c r="P216" t="s">
        <v>47</v>
      </c>
      <c r="Q216" t="s">
        <v>34</v>
      </c>
      <c r="R216" t="s">
        <v>41</v>
      </c>
      <c r="S216">
        <f t="shared" si="16"/>
        <v>131718.52799999999</v>
      </c>
      <c r="T216">
        <f t="shared" si="17"/>
        <v>125495.04000000001</v>
      </c>
      <c r="U216">
        <f t="shared" si="18"/>
        <v>6223.487999999983</v>
      </c>
      <c r="V216" t="str">
        <f t="shared" si="19"/>
        <v>Senior</v>
      </c>
    </row>
    <row r="217" spans="1:22" x14ac:dyDescent="0.35">
      <c r="A217" t="s">
        <v>391</v>
      </c>
      <c r="B217">
        <v>1052</v>
      </c>
      <c r="C217" s="1">
        <v>45282</v>
      </c>
      <c r="D217" s="1" t="str">
        <f t="shared" si="15"/>
        <v>Dec</v>
      </c>
      <c r="E217" t="s">
        <v>392</v>
      </c>
      <c r="F217">
        <v>55</v>
      </c>
      <c r="G217" t="s">
        <v>54</v>
      </c>
      <c r="H217" t="s">
        <v>38</v>
      </c>
      <c r="I217" t="s">
        <v>50</v>
      </c>
      <c r="J217">
        <v>2</v>
      </c>
      <c r="K217" s="4" t="s">
        <v>24</v>
      </c>
      <c r="L217">
        <v>3752.68</v>
      </c>
      <c r="M217">
        <v>4017.91</v>
      </c>
      <c r="N217" t="s">
        <v>25</v>
      </c>
      <c r="O217" s="30">
        <v>0.16</v>
      </c>
      <c r="P217" t="s">
        <v>40</v>
      </c>
      <c r="Q217" t="s">
        <v>27</v>
      </c>
      <c r="R217" t="s">
        <v>41</v>
      </c>
      <c r="S217">
        <f t="shared" si="16"/>
        <v>6750.0887999999995</v>
      </c>
      <c r="T217">
        <f t="shared" si="17"/>
        <v>7505.36</v>
      </c>
      <c r="U217">
        <f t="shared" si="18"/>
        <v>-755.27120000000014</v>
      </c>
      <c r="V217" t="str">
        <f t="shared" si="19"/>
        <v>Senior</v>
      </c>
    </row>
    <row r="218" spans="1:22" x14ac:dyDescent="0.35">
      <c r="A218" t="s">
        <v>393</v>
      </c>
      <c r="B218">
        <v>1012</v>
      </c>
      <c r="C218" s="1">
        <v>45250</v>
      </c>
      <c r="D218" s="1" t="str">
        <f t="shared" si="15"/>
        <v>Nov</v>
      </c>
      <c r="E218" t="s">
        <v>119</v>
      </c>
      <c r="F218">
        <v>52</v>
      </c>
      <c r="G218" t="s">
        <v>31</v>
      </c>
      <c r="H218" t="s">
        <v>22</v>
      </c>
      <c r="I218" t="s">
        <v>23</v>
      </c>
      <c r="J218">
        <v>1</v>
      </c>
      <c r="K218" s="4" t="s">
        <v>39</v>
      </c>
      <c r="L218">
        <v>4190.83</v>
      </c>
      <c r="M218">
        <v>4528.7700000000004</v>
      </c>
      <c r="N218" t="s">
        <v>25</v>
      </c>
      <c r="O218" s="30">
        <v>0.22</v>
      </c>
      <c r="P218" t="s">
        <v>40</v>
      </c>
      <c r="Q218" t="s">
        <v>27</v>
      </c>
      <c r="R218" t="s">
        <v>28</v>
      </c>
      <c r="S218">
        <f t="shared" si="16"/>
        <v>3532.4406000000004</v>
      </c>
      <c r="T218">
        <f t="shared" si="17"/>
        <v>4190.83</v>
      </c>
      <c r="U218">
        <f t="shared" si="18"/>
        <v>-658.38939999999957</v>
      </c>
      <c r="V218" t="str">
        <f t="shared" si="19"/>
        <v>Senior</v>
      </c>
    </row>
    <row r="219" spans="1:22" x14ac:dyDescent="0.35">
      <c r="A219" t="s">
        <v>394</v>
      </c>
      <c r="B219">
        <v>1039</v>
      </c>
      <c r="C219" s="1">
        <v>45059</v>
      </c>
      <c r="D219" s="1" t="str">
        <f t="shared" si="15"/>
        <v>May</v>
      </c>
      <c r="E219" t="s">
        <v>145</v>
      </c>
      <c r="F219">
        <v>47</v>
      </c>
      <c r="G219" t="s">
        <v>65</v>
      </c>
      <c r="H219" t="s">
        <v>22</v>
      </c>
      <c r="I219" t="s">
        <v>33</v>
      </c>
      <c r="J219">
        <v>40</v>
      </c>
      <c r="K219" s="4" t="s">
        <v>24</v>
      </c>
      <c r="L219">
        <v>3536.46</v>
      </c>
      <c r="M219">
        <v>3945.82</v>
      </c>
      <c r="N219" t="s">
        <v>46</v>
      </c>
      <c r="O219" s="30">
        <v>0.12</v>
      </c>
      <c r="P219" t="s">
        <v>40</v>
      </c>
      <c r="Q219" t="s">
        <v>34</v>
      </c>
      <c r="R219" t="s">
        <v>28</v>
      </c>
      <c r="S219">
        <f t="shared" si="16"/>
        <v>138892.86400000003</v>
      </c>
      <c r="T219">
        <f t="shared" si="17"/>
        <v>141458.4</v>
      </c>
      <c r="U219">
        <f t="shared" si="18"/>
        <v>-2565.5359999999637</v>
      </c>
      <c r="V219" t="str">
        <f t="shared" si="19"/>
        <v>Senior</v>
      </c>
    </row>
    <row r="220" spans="1:22" x14ac:dyDescent="0.35">
      <c r="A220" t="s">
        <v>395</v>
      </c>
      <c r="B220">
        <v>1002</v>
      </c>
      <c r="C220" s="1">
        <v>45219</v>
      </c>
      <c r="D220" s="1" t="str">
        <f t="shared" si="15"/>
        <v>Oct</v>
      </c>
      <c r="E220" t="s">
        <v>396</v>
      </c>
      <c r="F220">
        <v>48</v>
      </c>
      <c r="G220" t="s">
        <v>100</v>
      </c>
      <c r="H220" t="s">
        <v>81</v>
      </c>
      <c r="I220" t="s">
        <v>23</v>
      </c>
      <c r="J220">
        <v>30</v>
      </c>
      <c r="K220" s="4" t="s">
        <v>45</v>
      </c>
      <c r="L220">
        <v>4646.55</v>
      </c>
      <c r="M220">
        <v>5384.28</v>
      </c>
      <c r="N220" t="s">
        <v>25</v>
      </c>
      <c r="O220" s="30">
        <v>0.1</v>
      </c>
      <c r="P220" t="s">
        <v>47</v>
      </c>
      <c r="Q220" t="s">
        <v>27</v>
      </c>
      <c r="R220" t="s">
        <v>41</v>
      </c>
      <c r="S220">
        <f t="shared" si="16"/>
        <v>145375.56</v>
      </c>
      <c r="T220">
        <f t="shared" si="17"/>
        <v>139396.5</v>
      </c>
      <c r="U220">
        <f t="shared" si="18"/>
        <v>5979.0599999999977</v>
      </c>
      <c r="V220" t="str">
        <f t="shared" si="19"/>
        <v>Senior</v>
      </c>
    </row>
    <row r="221" spans="1:22" x14ac:dyDescent="0.35">
      <c r="A221" t="s">
        <v>397</v>
      </c>
      <c r="B221">
        <v>1003</v>
      </c>
      <c r="C221" s="1">
        <v>45254</v>
      </c>
      <c r="D221" s="1" t="str">
        <f t="shared" si="15"/>
        <v>Nov</v>
      </c>
      <c r="E221" t="s">
        <v>145</v>
      </c>
      <c r="F221">
        <v>22</v>
      </c>
      <c r="G221" t="s">
        <v>65</v>
      </c>
      <c r="H221" t="s">
        <v>81</v>
      </c>
      <c r="I221" t="s">
        <v>23</v>
      </c>
      <c r="J221">
        <v>11</v>
      </c>
      <c r="K221" s="4" t="s">
        <v>39</v>
      </c>
      <c r="L221">
        <v>3706.78</v>
      </c>
      <c r="M221">
        <v>3862.26</v>
      </c>
      <c r="N221" t="s">
        <v>46</v>
      </c>
      <c r="O221" s="30">
        <v>0.22</v>
      </c>
      <c r="P221" t="s">
        <v>47</v>
      </c>
      <c r="Q221" t="s">
        <v>34</v>
      </c>
      <c r="R221" t="s">
        <v>35</v>
      </c>
      <c r="S221">
        <f t="shared" si="16"/>
        <v>33138.190800000004</v>
      </c>
      <c r="T221">
        <f t="shared" si="17"/>
        <v>40774.58</v>
      </c>
      <c r="U221">
        <f t="shared" si="18"/>
        <v>-7636.3891999999978</v>
      </c>
      <c r="V221" t="str">
        <f t="shared" si="19"/>
        <v>Young</v>
      </c>
    </row>
    <row r="222" spans="1:22" x14ac:dyDescent="0.35">
      <c r="A222" t="s">
        <v>398</v>
      </c>
      <c r="B222">
        <v>1056</v>
      </c>
      <c r="C222" s="1">
        <v>45053</v>
      </c>
      <c r="D222" s="1" t="str">
        <f t="shared" si="15"/>
        <v>May</v>
      </c>
      <c r="E222" t="s">
        <v>156</v>
      </c>
      <c r="F222">
        <v>61</v>
      </c>
      <c r="G222" t="s">
        <v>54</v>
      </c>
      <c r="H222" t="s">
        <v>54</v>
      </c>
      <c r="I222" t="s">
        <v>50</v>
      </c>
      <c r="J222">
        <v>28</v>
      </c>
      <c r="K222" s="4" t="s">
        <v>45</v>
      </c>
      <c r="L222">
        <v>1566.03</v>
      </c>
      <c r="M222">
        <v>1576.34</v>
      </c>
      <c r="N222" t="s">
        <v>25</v>
      </c>
      <c r="O222" s="30">
        <v>0.2</v>
      </c>
      <c r="P222" t="s">
        <v>40</v>
      </c>
      <c r="Q222" t="s">
        <v>34</v>
      </c>
      <c r="R222" t="s">
        <v>35</v>
      </c>
      <c r="S222">
        <f t="shared" si="16"/>
        <v>35310.015999999996</v>
      </c>
      <c r="T222">
        <f t="shared" si="17"/>
        <v>43848.84</v>
      </c>
      <c r="U222">
        <f t="shared" si="18"/>
        <v>-8538.8240000000005</v>
      </c>
      <c r="V222" t="str">
        <f t="shared" si="19"/>
        <v>Senior</v>
      </c>
    </row>
    <row r="223" spans="1:22" x14ac:dyDescent="0.35">
      <c r="A223" t="s">
        <v>399</v>
      </c>
      <c r="B223">
        <v>1081</v>
      </c>
      <c r="C223" s="1">
        <v>45032</v>
      </c>
      <c r="D223" s="1" t="str">
        <f t="shared" si="15"/>
        <v>Apr</v>
      </c>
      <c r="E223" t="s">
        <v>400</v>
      </c>
      <c r="F223">
        <v>31</v>
      </c>
      <c r="G223" t="s">
        <v>21</v>
      </c>
      <c r="H223" t="s">
        <v>81</v>
      </c>
      <c r="I223" t="s">
        <v>44</v>
      </c>
      <c r="J223">
        <v>44</v>
      </c>
      <c r="K223" s="4" t="s">
        <v>51</v>
      </c>
      <c r="L223">
        <v>1362.15</v>
      </c>
      <c r="M223">
        <v>1844.07</v>
      </c>
      <c r="N223" t="s">
        <v>46</v>
      </c>
      <c r="O223" s="30">
        <v>0.28999999999999998</v>
      </c>
      <c r="P223" t="s">
        <v>47</v>
      </c>
      <c r="Q223" t="s">
        <v>27</v>
      </c>
      <c r="R223" t="s">
        <v>41</v>
      </c>
      <c r="S223">
        <f t="shared" si="16"/>
        <v>57608.746800000001</v>
      </c>
      <c r="T223">
        <f t="shared" si="17"/>
        <v>59934.600000000006</v>
      </c>
      <c r="U223">
        <f t="shared" si="18"/>
        <v>-2325.853200000005</v>
      </c>
      <c r="V223" t="str">
        <f t="shared" si="19"/>
        <v>Adult</v>
      </c>
    </row>
    <row r="224" spans="1:22" x14ac:dyDescent="0.35">
      <c r="A224" t="s">
        <v>401</v>
      </c>
      <c r="B224">
        <v>1059</v>
      </c>
      <c r="C224" s="1">
        <v>45018</v>
      </c>
      <c r="D224" s="1" t="str">
        <f t="shared" si="15"/>
        <v>Apr</v>
      </c>
      <c r="E224" t="s">
        <v>402</v>
      </c>
      <c r="F224">
        <v>28</v>
      </c>
      <c r="G224" t="s">
        <v>31</v>
      </c>
      <c r="H224" t="s">
        <v>38</v>
      </c>
      <c r="I224" t="s">
        <v>23</v>
      </c>
      <c r="J224">
        <v>12</v>
      </c>
      <c r="K224" s="4" t="s">
        <v>39</v>
      </c>
      <c r="L224">
        <v>3496.15</v>
      </c>
      <c r="M224">
        <v>3955.75</v>
      </c>
      <c r="N224" t="s">
        <v>25</v>
      </c>
      <c r="O224" s="30">
        <v>0.28000000000000003</v>
      </c>
      <c r="P224" t="s">
        <v>26</v>
      </c>
      <c r="Q224" t="s">
        <v>34</v>
      </c>
      <c r="R224" t="s">
        <v>28</v>
      </c>
      <c r="S224">
        <f t="shared" si="16"/>
        <v>34177.68</v>
      </c>
      <c r="T224">
        <f t="shared" si="17"/>
        <v>41953.8</v>
      </c>
      <c r="U224">
        <f t="shared" si="18"/>
        <v>-7776.1200000000026</v>
      </c>
      <c r="V224" t="str">
        <f t="shared" si="19"/>
        <v>Adult</v>
      </c>
    </row>
    <row r="225" spans="1:22" x14ac:dyDescent="0.35">
      <c r="A225" t="s">
        <v>403</v>
      </c>
      <c r="B225">
        <v>1002</v>
      </c>
      <c r="C225" s="1">
        <v>45213</v>
      </c>
      <c r="D225" s="1" t="str">
        <f t="shared" si="15"/>
        <v>Oct</v>
      </c>
      <c r="E225" t="s">
        <v>404</v>
      </c>
      <c r="F225">
        <v>26</v>
      </c>
      <c r="G225" t="s">
        <v>100</v>
      </c>
      <c r="H225" t="s">
        <v>22</v>
      </c>
      <c r="I225" t="s">
        <v>44</v>
      </c>
      <c r="J225">
        <v>39</v>
      </c>
      <c r="K225" s="4" t="s">
        <v>45</v>
      </c>
      <c r="L225">
        <v>1004.71</v>
      </c>
      <c r="M225">
        <v>1389.35</v>
      </c>
      <c r="N225" t="s">
        <v>46</v>
      </c>
      <c r="O225" s="30">
        <v>0.24</v>
      </c>
      <c r="P225" t="s">
        <v>40</v>
      </c>
      <c r="Q225" t="s">
        <v>34</v>
      </c>
      <c r="R225" t="s">
        <v>28</v>
      </c>
      <c r="S225">
        <f t="shared" si="16"/>
        <v>41180.333999999995</v>
      </c>
      <c r="T225">
        <f t="shared" si="17"/>
        <v>39183.69</v>
      </c>
      <c r="U225">
        <f t="shared" si="18"/>
        <v>1996.643999999993</v>
      </c>
      <c r="V225" t="str">
        <f t="shared" si="19"/>
        <v>Adult</v>
      </c>
    </row>
    <row r="226" spans="1:22" x14ac:dyDescent="0.35">
      <c r="A226" t="s">
        <v>405</v>
      </c>
      <c r="B226">
        <v>1002</v>
      </c>
      <c r="C226" s="1">
        <v>44977</v>
      </c>
      <c r="D226" s="1" t="str">
        <f t="shared" si="15"/>
        <v>Feb</v>
      </c>
      <c r="E226" t="s">
        <v>374</v>
      </c>
      <c r="F226">
        <v>51</v>
      </c>
      <c r="G226" t="s">
        <v>31</v>
      </c>
      <c r="H226" t="s">
        <v>81</v>
      </c>
      <c r="I226" t="s">
        <v>33</v>
      </c>
      <c r="J226">
        <v>26</v>
      </c>
      <c r="K226" s="4" t="s">
        <v>39</v>
      </c>
      <c r="L226">
        <v>508.94</v>
      </c>
      <c r="M226">
        <v>557.69000000000005</v>
      </c>
      <c r="N226" t="s">
        <v>46</v>
      </c>
      <c r="O226" s="30">
        <v>0.22</v>
      </c>
      <c r="P226" t="s">
        <v>47</v>
      </c>
      <c r="Q226" t="s">
        <v>27</v>
      </c>
      <c r="R226" t="s">
        <v>35</v>
      </c>
      <c r="S226">
        <f t="shared" si="16"/>
        <v>11309.953200000002</v>
      </c>
      <c r="T226">
        <f t="shared" si="17"/>
        <v>13232.44</v>
      </c>
      <c r="U226">
        <f t="shared" si="18"/>
        <v>-1922.4867999999988</v>
      </c>
      <c r="V226" t="str">
        <f t="shared" si="19"/>
        <v>Senior</v>
      </c>
    </row>
    <row r="227" spans="1:22" x14ac:dyDescent="0.35">
      <c r="A227" t="s">
        <v>406</v>
      </c>
      <c r="B227">
        <v>1092</v>
      </c>
      <c r="C227" s="1">
        <v>44955</v>
      </c>
      <c r="D227" s="1" t="str">
        <f t="shared" si="15"/>
        <v>Jan</v>
      </c>
      <c r="E227" t="s">
        <v>176</v>
      </c>
      <c r="F227">
        <v>29</v>
      </c>
      <c r="G227" t="s">
        <v>54</v>
      </c>
      <c r="H227" t="s">
        <v>81</v>
      </c>
      <c r="I227" t="s">
        <v>23</v>
      </c>
      <c r="J227">
        <v>13</v>
      </c>
      <c r="K227" s="4" t="s">
        <v>45</v>
      </c>
      <c r="L227">
        <v>2684.5</v>
      </c>
      <c r="M227">
        <v>2913.78</v>
      </c>
      <c r="N227" t="s">
        <v>46</v>
      </c>
      <c r="O227" s="30">
        <v>0.08</v>
      </c>
      <c r="P227" t="s">
        <v>47</v>
      </c>
      <c r="Q227" t="s">
        <v>27</v>
      </c>
      <c r="R227" t="s">
        <v>35</v>
      </c>
      <c r="S227">
        <f t="shared" si="16"/>
        <v>34848.808799999999</v>
      </c>
      <c r="T227">
        <f t="shared" si="17"/>
        <v>34898.5</v>
      </c>
      <c r="U227">
        <f t="shared" si="18"/>
        <v>-49.691200000001118</v>
      </c>
      <c r="V227" t="str">
        <f t="shared" si="19"/>
        <v>Adult</v>
      </c>
    </row>
    <row r="228" spans="1:22" x14ac:dyDescent="0.35">
      <c r="A228" t="s">
        <v>407</v>
      </c>
      <c r="B228">
        <v>1054</v>
      </c>
      <c r="C228" s="1">
        <v>45222</v>
      </c>
      <c r="D228" s="1" t="str">
        <f t="shared" si="15"/>
        <v>Oct</v>
      </c>
      <c r="E228" t="s">
        <v>296</v>
      </c>
      <c r="F228">
        <v>52</v>
      </c>
      <c r="G228" t="s">
        <v>31</v>
      </c>
      <c r="H228" t="s">
        <v>54</v>
      </c>
      <c r="I228" t="s">
        <v>50</v>
      </c>
      <c r="J228">
        <v>8</v>
      </c>
      <c r="K228" s="4" t="s">
        <v>39</v>
      </c>
      <c r="L228">
        <v>4117.13</v>
      </c>
      <c r="M228">
        <v>4177.0600000000004</v>
      </c>
      <c r="N228" t="s">
        <v>25</v>
      </c>
      <c r="O228" s="30">
        <v>0.25</v>
      </c>
      <c r="P228" t="s">
        <v>40</v>
      </c>
      <c r="Q228" t="s">
        <v>27</v>
      </c>
      <c r="R228" t="s">
        <v>41</v>
      </c>
      <c r="S228">
        <f t="shared" si="16"/>
        <v>25062.36</v>
      </c>
      <c r="T228">
        <f t="shared" si="17"/>
        <v>32937.040000000001</v>
      </c>
      <c r="U228">
        <f t="shared" si="18"/>
        <v>-7874.68</v>
      </c>
      <c r="V228" t="str">
        <f t="shared" si="19"/>
        <v>Senior</v>
      </c>
    </row>
    <row r="229" spans="1:22" x14ac:dyDescent="0.35">
      <c r="A229" t="s">
        <v>408</v>
      </c>
      <c r="B229">
        <v>1087</v>
      </c>
      <c r="C229" s="1">
        <v>45223</v>
      </c>
      <c r="D229" s="1" t="str">
        <f t="shared" si="15"/>
        <v>Oct</v>
      </c>
      <c r="E229" t="s">
        <v>143</v>
      </c>
      <c r="F229">
        <v>52</v>
      </c>
      <c r="G229" t="s">
        <v>100</v>
      </c>
      <c r="H229" t="s">
        <v>54</v>
      </c>
      <c r="I229" t="s">
        <v>33</v>
      </c>
      <c r="J229">
        <v>28</v>
      </c>
      <c r="K229" s="4" t="s">
        <v>45</v>
      </c>
      <c r="L229">
        <v>551.83000000000004</v>
      </c>
      <c r="M229">
        <v>569.63</v>
      </c>
      <c r="N229" t="s">
        <v>46</v>
      </c>
      <c r="O229" s="30">
        <v>0.13</v>
      </c>
      <c r="P229" t="s">
        <v>47</v>
      </c>
      <c r="Q229" t="s">
        <v>34</v>
      </c>
      <c r="R229" t="s">
        <v>35</v>
      </c>
      <c r="S229">
        <f t="shared" si="16"/>
        <v>13876.186799999999</v>
      </c>
      <c r="T229">
        <f t="shared" si="17"/>
        <v>15451.240000000002</v>
      </c>
      <c r="U229">
        <f t="shared" si="18"/>
        <v>-1575.0532000000021</v>
      </c>
      <c r="V229" t="str">
        <f t="shared" si="19"/>
        <v>Senior</v>
      </c>
    </row>
    <row r="230" spans="1:22" x14ac:dyDescent="0.35">
      <c r="A230" t="s">
        <v>409</v>
      </c>
      <c r="B230">
        <v>1096</v>
      </c>
      <c r="C230" s="1">
        <v>45140</v>
      </c>
      <c r="D230" s="1" t="str">
        <f t="shared" si="15"/>
        <v>Aug</v>
      </c>
      <c r="E230" t="s">
        <v>270</v>
      </c>
      <c r="F230">
        <v>18</v>
      </c>
      <c r="G230" t="s">
        <v>54</v>
      </c>
      <c r="H230" t="s">
        <v>38</v>
      </c>
      <c r="I230" t="s">
        <v>33</v>
      </c>
      <c r="J230">
        <v>30</v>
      </c>
      <c r="K230" s="4" t="s">
        <v>51</v>
      </c>
      <c r="L230">
        <v>3969.86</v>
      </c>
      <c r="M230">
        <v>4281.79</v>
      </c>
      <c r="N230" t="s">
        <v>25</v>
      </c>
      <c r="O230" s="30">
        <v>0.08</v>
      </c>
      <c r="P230" t="s">
        <v>40</v>
      </c>
      <c r="Q230" t="s">
        <v>34</v>
      </c>
      <c r="R230" t="s">
        <v>41</v>
      </c>
      <c r="S230">
        <f t="shared" si="16"/>
        <v>118177.40400000001</v>
      </c>
      <c r="T230">
        <f t="shared" si="17"/>
        <v>119095.8</v>
      </c>
      <c r="U230">
        <f t="shared" si="18"/>
        <v>-918.39599999999336</v>
      </c>
      <c r="V230" t="str">
        <f t="shared" si="19"/>
        <v>Young</v>
      </c>
    </row>
    <row r="231" spans="1:22" x14ac:dyDescent="0.35">
      <c r="A231" t="s">
        <v>410</v>
      </c>
      <c r="B231">
        <v>1097</v>
      </c>
      <c r="C231" s="1">
        <v>45193</v>
      </c>
      <c r="D231" s="1" t="str">
        <f t="shared" si="15"/>
        <v>Sep</v>
      </c>
      <c r="E231" t="s">
        <v>411</v>
      </c>
      <c r="F231">
        <v>57</v>
      </c>
      <c r="G231" t="s">
        <v>31</v>
      </c>
      <c r="H231" t="s">
        <v>22</v>
      </c>
      <c r="I231" t="s">
        <v>50</v>
      </c>
      <c r="J231">
        <v>9</v>
      </c>
      <c r="K231" s="4" t="s">
        <v>39</v>
      </c>
      <c r="L231">
        <v>4067.28</v>
      </c>
      <c r="M231">
        <v>4548.09</v>
      </c>
      <c r="N231" t="s">
        <v>25</v>
      </c>
      <c r="O231" s="30">
        <v>0.12</v>
      </c>
      <c r="P231" t="s">
        <v>47</v>
      </c>
      <c r="Q231" t="s">
        <v>27</v>
      </c>
      <c r="R231" t="s">
        <v>35</v>
      </c>
      <c r="S231">
        <f t="shared" si="16"/>
        <v>36020.872799999997</v>
      </c>
      <c r="T231">
        <f t="shared" si="17"/>
        <v>36605.520000000004</v>
      </c>
      <c r="U231">
        <f t="shared" si="18"/>
        <v>-584.64720000000671</v>
      </c>
      <c r="V231" t="str">
        <f t="shared" si="19"/>
        <v>Senior</v>
      </c>
    </row>
    <row r="232" spans="1:22" x14ac:dyDescent="0.35">
      <c r="A232" t="s">
        <v>412</v>
      </c>
      <c r="B232">
        <v>1001</v>
      </c>
      <c r="C232" s="1">
        <v>45183</v>
      </c>
      <c r="D232" s="1" t="str">
        <f t="shared" si="15"/>
        <v>Sep</v>
      </c>
      <c r="E232" t="s">
        <v>86</v>
      </c>
      <c r="F232">
        <v>39</v>
      </c>
      <c r="G232" t="s">
        <v>21</v>
      </c>
      <c r="H232" t="s">
        <v>54</v>
      </c>
      <c r="I232" t="s">
        <v>23</v>
      </c>
      <c r="J232">
        <v>39</v>
      </c>
      <c r="K232" s="4" t="s">
        <v>39</v>
      </c>
      <c r="L232">
        <v>2437.2600000000002</v>
      </c>
      <c r="M232">
        <v>2889.67</v>
      </c>
      <c r="N232" t="s">
        <v>25</v>
      </c>
      <c r="O232" s="30">
        <v>0.25</v>
      </c>
      <c r="P232" t="s">
        <v>26</v>
      </c>
      <c r="Q232" t="s">
        <v>34</v>
      </c>
      <c r="R232" t="s">
        <v>35</v>
      </c>
      <c r="S232">
        <f t="shared" si="16"/>
        <v>84522.847500000003</v>
      </c>
      <c r="T232">
        <f t="shared" si="17"/>
        <v>95053.140000000014</v>
      </c>
      <c r="U232">
        <f t="shared" si="18"/>
        <v>-10530.29250000001</v>
      </c>
      <c r="V232" t="str">
        <f t="shared" si="19"/>
        <v>Adult</v>
      </c>
    </row>
    <row r="233" spans="1:22" x14ac:dyDescent="0.35">
      <c r="A233" t="s">
        <v>413</v>
      </c>
      <c r="B233">
        <v>1019</v>
      </c>
      <c r="C233" s="1">
        <v>45228</v>
      </c>
      <c r="D233" s="1" t="str">
        <f t="shared" si="15"/>
        <v>Oct</v>
      </c>
      <c r="E233" t="s">
        <v>117</v>
      </c>
      <c r="F233">
        <v>46</v>
      </c>
      <c r="G233" t="s">
        <v>54</v>
      </c>
      <c r="H233" t="s">
        <v>81</v>
      </c>
      <c r="I233" t="s">
        <v>23</v>
      </c>
      <c r="J233">
        <v>31</v>
      </c>
      <c r="K233" s="4" t="s">
        <v>39</v>
      </c>
      <c r="L233">
        <v>333.69</v>
      </c>
      <c r="M233">
        <v>685.1</v>
      </c>
      <c r="N233" t="s">
        <v>46</v>
      </c>
      <c r="O233" s="30">
        <v>0.04</v>
      </c>
      <c r="P233" t="s">
        <v>40</v>
      </c>
      <c r="Q233" t="s">
        <v>27</v>
      </c>
      <c r="R233" t="s">
        <v>35</v>
      </c>
      <c r="S233">
        <f t="shared" si="16"/>
        <v>20388.576000000001</v>
      </c>
      <c r="T233">
        <f t="shared" si="17"/>
        <v>10344.39</v>
      </c>
      <c r="U233">
        <f t="shared" si="18"/>
        <v>10044.186000000002</v>
      </c>
      <c r="V233" t="str">
        <f t="shared" si="19"/>
        <v>Senior</v>
      </c>
    </row>
    <row r="234" spans="1:22" x14ac:dyDescent="0.35">
      <c r="A234" t="s">
        <v>414</v>
      </c>
      <c r="B234">
        <v>1002</v>
      </c>
      <c r="C234" s="1">
        <v>45027</v>
      </c>
      <c r="D234" s="1" t="str">
        <f t="shared" si="15"/>
        <v>Apr</v>
      </c>
      <c r="E234" t="s">
        <v>415</v>
      </c>
      <c r="F234">
        <v>25</v>
      </c>
      <c r="G234" t="s">
        <v>54</v>
      </c>
      <c r="H234" t="s">
        <v>22</v>
      </c>
      <c r="I234" t="s">
        <v>33</v>
      </c>
      <c r="J234">
        <v>21</v>
      </c>
      <c r="K234" s="4" t="s">
        <v>39</v>
      </c>
      <c r="L234">
        <v>914.22</v>
      </c>
      <c r="M234">
        <v>971.57</v>
      </c>
      <c r="N234" t="s">
        <v>25</v>
      </c>
      <c r="O234" s="30">
        <v>0.14000000000000001</v>
      </c>
      <c r="P234" t="s">
        <v>26</v>
      </c>
      <c r="Q234" t="s">
        <v>27</v>
      </c>
      <c r="R234" t="s">
        <v>28</v>
      </c>
      <c r="S234">
        <f t="shared" si="16"/>
        <v>17546.554200000002</v>
      </c>
      <c r="T234">
        <f t="shared" si="17"/>
        <v>19198.62</v>
      </c>
      <c r="U234">
        <f t="shared" si="18"/>
        <v>-1652.0657999999967</v>
      </c>
      <c r="V234" t="str">
        <f t="shared" si="19"/>
        <v>Adult</v>
      </c>
    </row>
    <row r="235" spans="1:22" x14ac:dyDescent="0.35">
      <c r="A235" t="s">
        <v>416</v>
      </c>
      <c r="B235">
        <v>1053</v>
      </c>
      <c r="C235" s="1">
        <v>45272</v>
      </c>
      <c r="D235" s="1" t="str">
        <f t="shared" si="15"/>
        <v>Dec</v>
      </c>
      <c r="E235" t="s">
        <v>239</v>
      </c>
      <c r="F235">
        <v>28</v>
      </c>
      <c r="G235" t="s">
        <v>21</v>
      </c>
      <c r="H235" t="s">
        <v>22</v>
      </c>
      <c r="I235" t="s">
        <v>23</v>
      </c>
      <c r="J235">
        <v>47</v>
      </c>
      <c r="K235" s="4" t="s">
        <v>51</v>
      </c>
      <c r="L235">
        <v>3551.76</v>
      </c>
      <c r="M235">
        <v>3696.1</v>
      </c>
      <c r="N235" t="s">
        <v>25</v>
      </c>
      <c r="O235" s="30">
        <v>0.15</v>
      </c>
      <c r="P235" t="s">
        <v>40</v>
      </c>
      <c r="Q235" t="s">
        <v>34</v>
      </c>
      <c r="R235" t="s">
        <v>28</v>
      </c>
      <c r="S235">
        <f t="shared" si="16"/>
        <v>147659.19499999998</v>
      </c>
      <c r="T235">
        <f t="shared" si="17"/>
        <v>166932.72</v>
      </c>
      <c r="U235">
        <f t="shared" si="18"/>
        <v>-19273.525000000023</v>
      </c>
      <c r="V235" t="str">
        <f t="shared" si="19"/>
        <v>Adult</v>
      </c>
    </row>
    <row r="236" spans="1:22" x14ac:dyDescent="0.35">
      <c r="A236" t="s">
        <v>417</v>
      </c>
      <c r="B236">
        <v>1044</v>
      </c>
      <c r="C236" s="1">
        <v>45036</v>
      </c>
      <c r="D236" s="1" t="str">
        <f t="shared" si="15"/>
        <v>Apr</v>
      </c>
      <c r="E236" t="s">
        <v>266</v>
      </c>
      <c r="F236">
        <v>58</v>
      </c>
      <c r="G236" t="s">
        <v>65</v>
      </c>
      <c r="H236" t="s">
        <v>81</v>
      </c>
      <c r="I236" t="s">
        <v>44</v>
      </c>
      <c r="J236">
        <v>34</v>
      </c>
      <c r="K236" s="4" t="s">
        <v>39</v>
      </c>
      <c r="L236">
        <v>3573.3</v>
      </c>
      <c r="M236">
        <v>3740.13</v>
      </c>
      <c r="N236" t="s">
        <v>25</v>
      </c>
      <c r="O236" s="30">
        <v>0.01</v>
      </c>
      <c r="P236" t="s">
        <v>47</v>
      </c>
      <c r="Q236" t="s">
        <v>27</v>
      </c>
      <c r="R236" t="s">
        <v>28</v>
      </c>
      <c r="S236">
        <f t="shared" si="16"/>
        <v>125892.7758</v>
      </c>
      <c r="T236">
        <f t="shared" si="17"/>
        <v>121492.20000000001</v>
      </c>
      <c r="U236">
        <f t="shared" si="18"/>
        <v>4400.5757999999914</v>
      </c>
      <c r="V236" t="str">
        <f t="shared" si="19"/>
        <v>Senior</v>
      </c>
    </row>
    <row r="237" spans="1:22" x14ac:dyDescent="0.35">
      <c r="A237" t="s">
        <v>418</v>
      </c>
      <c r="B237">
        <v>1090</v>
      </c>
      <c r="C237" s="1">
        <v>45108</v>
      </c>
      <c r="D237" s="1" t="str">
        <f t="shared" si="15"/>
        <v>Jul</v>
      </c>
      <c r="E237" t="s">
        <v>349</v>
      </c>
      <c r="F237">
        <v>54</v>
      </c>
      <c r="G237" t="s">
        <v>100</v>
      </c>
      <c r="H237" t="s">
        <v>54</v>
      </c>
      <c r="I237" t="s">
        <v>50</v>
      </c>
      <c r="J237">
        <v>31</v>
      </c>
      <c r="K237" s="4" t="s">
        <v>24</v>
      </c>
      <c r="L237">
        <v>4496.8599999999997</v>
      </c>
      <c r="M237">
        <v>4880.8</v>
      </c>
      <c r="N237" t="s">
        <v>46</v>
      </c>
      <c r="O237" s="30">
        <v>0.06</v>
      </c>
      <c r="P237" t="s">
        <v>26</v>
      </c>
      <c r="Q237" t="s">
        <v>34</v>
      </c>
      <c r="R237" t="s">
        <v>35</v>
      </c>
      <c r="S237">
        <f t="shared" si="16"/>
        <v>142226.51200000002</v>
      </c>
      <c r="T237">
        <f t="shared" si="17"/>
        <v>139402.66</v>
      </c>
      <c r="U237">
        <f t="shared" si="18"/>
        <v>2823.8520000000135</v>
      </c>
      <c r="V237" t="str">
        <f t="shared" si="19"/>
        <v>Senior</v>
      </c>
    </row>
    <row r="238" spans="1:22" x14ac:dyDescent="0.35">
      <c r="A238" t="s">
        <v>419</v>
      </c>
      <c r="B238">
        <v>1032</v>
      </c>
      <c r="C238" s="1">
        <v>45239</v>
      </c>
      <c r="D238" s="1" t="str">
        <f t="shared" si="15"/>
        <v>Nov</v>
      </c>
      <c r="E238" t="s">
        <v>420</v>
      </c>
      <c r="F238">
        <v>31</v>
      </c>
      <c r="G238" t="s">
        <v>65</v>
      </c>
      <c r="H238" t="s">
        <v>81</v>
      </c>
      <c r="I238" t="s">
        <v>44</v>
      </c>
      <c r="J238">
        <v>25</v>
      </c>
      <c r="K238" s="4" t="s">
        <v>51</v>
      </c>
      <c r="L238">
        <v>2934.3</v>
      </c>
      <c r="M238">
        <v>3937.4</v>
      </c>
      <c r="N238" t="s">
        <v>25</v>
      </c>
      <c r="O238" s="30">
        <v>0.25</v>
      </c>
      <c r="P238" t="s">
        <v>47</v>
      </c>
      <c r="Q238" t="s">
        <v>34</v>
      </c>
      <c r="R238" t="s">
        <v>41</v>
      </c>
      <c r="S238">
        <f t="shared" si="16"/>
        <v>73826.25</v>
      </c>
      <c r="T238">
        <f t="shared" si="17"/>
        <v>73357.5</v>
      </c>
      <c r="U238">
        <f t="shared" si="18"/>
        <v>468.75</v>
      </c>
      <c r="V238" t="str">
        <f t="shared" si="19"/>
        <v>Adult</v>
      </c>
    </row>
    <row r="239" spans="1:22" x14ac:dyDescent="0.35">
      <c r="A239" t="s">
        <v>421</v>
      </c>
      <c r="B239">
        <v>1070</v>
      </c>
      <c r="C239" s="1">
        <v>44927</v>
      </c>
      <c r="D239" s="1" t="str">
        <f t="shared" si="15"/>
        <v>Jan</v>
      </c>
      <c r="E239" t="s">
        <v>64</v>
      </c>
      <c r="F239">
        <v>47</v>
      </c>
      <c r="G239" t="s">
        <v>31</v>
      </c>
      <c r="H239" t="s">
        <v>22</v>
      </c>
      <c r="I239" t="s">
        <v>23</v>
      </c>
      <c r="J239">
        <v>12</v>
      </c>
      <c r="K239" s="4" t="s">
        <v>24</v>
      </c>
      <c r="L239">
        <v>664.33</v>
      </c>
      <c r="M239">
        <v>863.03</v>
      </c>
      <c r="N239" t="s">
        <v>25</v>
      </c>
      <c r="O239" s="30">
        <v>0.25</v>
      </c>
      <c r="P239" t="s">
        <v>40</v>
      </c>
      <c r="Q239" t="s">
        <v>27</v>
      </c>
      <c r="R239" t="s">
        <v>41</v>
      </c>
      <c r="S239">
        <f t="shared" si="16"/>
        <v>7767.27</v>
      </c>
      <c r="T239">
        <f t="shared" si="17"/>
        <v>7971.9600000000009</v>
      </c>
      <c r="U239">
        <f t="shared" si="18"/>
        <v>-204.69000000000051</v>
      </c>
      <c r="V239" t="str">
        <f t="shared" si="19"/>
        <v>Senior</v>
      </c>
    </row>
    <row r="240" spans="1:22" x14ac:dyDescent="0.35">
      <c r="A240" t="s">
        <v>422</v>
      </c>
      <c r="B240">
        <v>1032</v>
      </c>
      <c r="C240" s="1">
        <v>45245</v>
      </c>
      <c r="D240" s="1" t="str">
        <f t="shared" si="15"/>
        <v>Nov</v>
      </c>
      <c r="E240" t="s">
        <v>423</v>
      </c>
      <c r="F240">
        <v>52</v>
      </c>
      <c r="G240" t="s">
        <v>21</v>
      </c>
      <c r="H240" t="s">
        <v>32</v>
      </c>
      <c r="I240" t="s">
        <v>33</v>
      </c>
      <c r="J240">
        <v>1</v>
      </c>
      <c r="K240" s="4" t="s">
        <v>39</v>
      </c>
      <c r="L240">
        <v>651</v>
      </c>
      <c r="M240">
        <v>865.76</v>
      </c>
      <c r="N240" t="s">
        <v>25</v>
      </c>
      <c r="O240" s="30">
        <v>0.09</v>
      </c>
      <c r="P240" t="s">
        <v>40</v>
      </c>
      <c r="Q240" t="s">
        <v>34</v>
      </c>
      <c r="R240" t="s">
        <v>41</v>
      </c>
      <c r="S240">
        <f t="shared" si="16"/>
        <v>787.84159999999997</v>
      </c>
      <c r="T240">
        <f t="shared" si="17"/>
        <v>651</v>
      </c>
      <c r="U240">
        <f t="shared" si="18"/>
        <v>136.84159999999997</v>
      </c>
      <c r="V240" t="str">
        <f t="shared" si="19"/>
        <v>Senior</v>
      </c>
    </row>
    <row r="241" spans="1:22" x14ac:dyDescent="0.35">
      <c r="A241" t="s">
        <v>424</v>
      </c>
      <c r="B241">
        <v>1068</v>
      </c>
      <c r="C241" s="1">
        <v>44981</v>
      </c>
      <c r="D241" s="1" t="str">
        <f t="shared" si="15"/>
        <v>Feb</v>
      </c>
      <c r="E241" t="s">
        <v>158</v>
      </c>
      <c r="F241">
        <v>38</v>
      </c>
      <c r="G241" t="s">
        <v>65</v>
      </c>
      <c r="H241" t="s">
        <v>32</v>
      </c>
      <c r="I241" t="s">
        <v>50</v>
      </c>
      <c r="J241">
        <v>22</v>
      </c>
      <c r="K241" s="4" t="s">
        <v>45</v>
      </c>
      <c r="L241">
        <v>3619.61</v>
      </c>
      <c r="M241">
        <v>4651.42</v>
      </c>
      <c r="N241" t="s">
        <v>25</v>
      </c>
      <c r="O241" s="30">
        <v>0.26</v>
      </c>
      <c r="P241" t="s">
        <v>40</v>
      </c>
      <c r="Q241" t="s">
        <v>27</v>
      </c>
      <c r="R241" t="s">
        <v>41</v>
      </c>
      <c r="S241">
        <f t="shared" si="16"/>
        <v>75725.117599999998</v>
      </c>
      <c r="T241">
        <f t="shared" si="17"/>
        <v>79631.42</v>
      </c>
      <c r="U241">
        <f t="shared" si="18"/>
        <v>-3906.3024000000005</v>
      </c>
      <c r="V241" t="str">
        <f t="shared" si="19"/>
        <v>Adult</v>
      </c>
    </row>
    <row r="242" spans="1:22" x14ac:dyDescent="0.35">
      <c r="A242" t="s">
        <v>425</v>
      </c>
      <c r="B242">
        <v>1055</v>
      </c>
      <c r="C242" s="1">
        <v>45075</v>
      </c>
      <c r="D242" s="1" t="str">
        <f t="shared" si="15"/>
        <v>May</v>
      </c>
      <c r="E242" t="s">
        <v>93</v>
      </c>
      <c r="F242">
        <v>54</v>
      </c>
      <c r="G242" t="s">
        <v>54</v>
      </c>
      <c r="H242" t="s">
        <v>38</v>
      </c>
      <c r="I242" t="s">
        <v>23</v>
      </c>
      <c r="J242">
        <v>40</v>
      </c>
      <c r="K242" s="4" t="s">
        <v>24</v>
      </c>
      <c r="L242">
        <v>959.73</v>
      </c>
      <c r="M242">
        <v>1111.4100000000001</v>
      </c>
      <c r="N242" t="s">
        <v>46</v>
      </c>
      <c r="O242" s="30">
        <v>0.23</v>
      </c>
      <c r="P242" t="s">
        <v>40</v>
      </c>
      <c r="Q242" t="s">
        <v>34</v>
      </c>
      <c r="R242" t="s">
        <v>28</v>
      </c>
      <c r="S242">
        <f t="shared" si="16"/>
        <v>34231.428</v>
      </c>
      <c r="T242">
        <f t="shared" si="17"/>
        <v>38389.199999999997</v>
      </c>
      <c r="U242">
        <f t="shared" si="18"/>
        <v>-4157.7719999999972</v>
      </c>
      <c r="V242" t="str">
        <f t="shared" si="19"/>
        <v>Senior</v>
      </c>
    </row>
    <row r="243" spans="1:22" x14ac:dyDescent="0.35">
      <c r="A243" t="s">
        <v>426</v>
      </c>
      <c r="B243">
        <v>1075</v>
      </c>
      <c r="C243" s="1">
        <v>45235</v>
      </c>
      <c r="D243" s="1" t="str">
        <f t="shared" si="15"/>
        <v>Nov</v>
      </c>
      <c r="E243" t="s">
        <v>83</v>
      </c>
      <c r="F243">
        <v>22</v>
      </c>
      <c r="G243" t="s">
        <v>31</v>
      </c>
      <c r="H243" t="s">
        <v>81</v>
      </c>
      <c r="I243" t="s">
        <v>23</v>
      </c>
      <c r="J243">
        <v>37</v>
      </c>
      <c r="K243" s="4" t="s">
        <v>39</v>
      </c>
      <c r="L243">
        <v>1675.51</v>
      </c>
      <c r="M243">
        <v>1906.64</v>
      </c>
      <c r="N243" t="s">
        <v>46</v>
      </c>
      <c r="O243" s="30">
        <v>0.13</v>
      </c>
      <c r="P243" t="s">
        <v>40</v>
      </c>
      <c r="Q243" t="s">
        <v>34</v>
      </c>
      <c r="R243" t="s">
        <v>28</v>
      </c>
      <c r="S243">
        <f t="shared" si="16"/>
        <v>61374.741600000008</v>
      </c>
      <c r="T243">
        <f t="shared" si="17"/>
        <v>61993.87</v>
      </c>
      <c r="U243">
        <f t="shared" si="18"/>
        <v>-619.12839999999414</v>
      </c>
      <c r="V243" t="str">
        <f t="shared" si="19"/>
        <v>Young</v>
      </c>
    </row>
    <row r="244" spans="1:22" x14ac:dyDescent="0.35">
      <c r="A244" t="s">
        <v>427</v>
      </c>
      <c r="B244">
        <v>1056</v>
      </c>
      <c r="C244" s="1">
        <v>45063</v>
      </c>
      <c r="D244" s="1" t="str">
        <f t="shared" si="15"/>
        <v>May</v>
      </c>
      <c r="E244" t="s">
        <v>115</v>
      </c>
      <c r="F244">
        <v>36</v>
      </c>
      <c r="G244" t="s">
        <v>31</v>
      </c>
      <c r="H244" t="s">
        <v>81</v>
      </c>
      <c r="I244" t="s">
        <v>33</v>
      </c>
      <c r="J244">
        <v>47</v>
      </c>
      <c r="K244" s="4" t="s">
        <v>24</v>
      </c>
      <c r="L244">
        <v>2461.6999999999998</v>
      </c>
      <c r="M244">
        <v>4529.0200000000004</v>
      </c>
      <c r="N244" t="s">
        <v>25</v>
      </c>
      <c r="O244" s="30">
        <v>0.22</v>
      </c>
      <c r="P244" t="s">
        <v>26</v>
      </c>
      <c r="Q244" t="s">
        <v>34</v>
      </c>
      <c r="R244" t="s">
        <v>35</v>
      </c>
      <c r="S244">
        <f t="shared" si="16"/>
        <v>166033.87320000003</v>
      </c>
      <c r="T244">
        <f t="shared" si="17"/>
        <v>115699.9</v>
      </c>
      <c r="U244">
        <f t="shared" si="18"/>
        <v>50333.973200000037</v>
      </c>
      <c r="V244" t="str">
        <f t="shared" si="19"/>
        <v>Adult</v>
      </c>
    </row>
    <row r="245" spans="1:22" x14ac:dyDescent="0.35">
      <c r="A245" t="s">
        <v>428</v>
      </c>
      <c r="B245">
        <v>1017</v>
      </c>
      <c r="C245" s="1">
        <v>45128</v>
      </c>
      <c r="D245" s="1" t="str">
        <f t="shared" si="15"/>
        <v>Jul</v>
      </c>
      <c r="E245" t="s">
        <v>89</v>
      </c>
      <c r="F245">
        <v>31</v>
      </c>
      <c r="G245" t="s">
        <v>65</v>
      </c>
      <c r="H245" t="s">
        <v>38</v>
      </c>
      <c r="I245" t="s">
        <v>33</v>
      </c>
      <c r="J245">
        <v>1</v>
      </c>
      <c r="K245" s="4" t="s">
        <v>39</v>
      </c>
      <c r="L245">
        <v>172.59</v>
      </c>
      <c r="M245">
        <v>404.69</v>
      </c>
      <c r="N245" t="s">
        <v>25</v>
      </c>
      <c r="O245" s="30">
        <v>0.28999999999999998</v>
      </c>
      <c r="P245" t="s">
        <v>40</v>
      </c>
      <c r="Q245" t="s">
        <v>27</v>
      </c>
      <c r="R245" t="s">
        <v>35</v>
      </c>
      <c r="S245">
        <f t="shared" si="16"/>
        <v>287.32990000000001</v>
      </c>
      <c r="T245">
        <f t="shared" si="17"/>
        <v>172.59</v>
      </c>
      <c r="U245">
        <f t="shared" si="18"/>
        <v>114.73990000000001</v>
      </c>
      <c r="V245" t="str">
        <f t="shared" si="19"/>
        <v>Adult</v>
      </c>
    </row>
    <row r="246" spans="1:22" x14ac:dyDescent="0.35">
      <c r="A246" t="s">
        <v>429</v>
      </c>
      <c r="B246">
        <v>1038</v>
      </c>
      <c r="C246" s="1">
        <v>45239</v>
      </c>
      <c r="D246" s="1" t="str">
        <f t="shared" si="15"/>
        <v>Nov</v>
      </c>
      <c r="E246" t="s">
        <v>430</v>
      </c>
      <c r="F246">
        <v>43</v>
      </c>
      <c r="G246" t="s">
        <v>65</v>
      </c>
      <c r="H246" t="s">
        <v>38</v>
      </c>
      <c r="I246" t="s">
        <v>44</v>
      </c>
      <c r="J246">
        <v>1</v>
      </c>
      <c r="K246" s="4" t="s">
        <v>39</v>
      </c>
      <c r="L246">
        <v>1281.6500000000001</v>
      </c>
      <c r="M246">
        <v>1709.71</v>
      </c>
      <c r="N246" t="s">
        <v>25</v>
      </c>
      <c r="O246" s="30">
        <v>0.14000000000000001</v>
      </c>
      <c r="P246" t="s">
        <v>47</v>
      </c>
      <c r="Q246" t="s">
        <v>34</v>
      </c>
      <c r="R246" t="s">
        <v>41</v>
      </c>
      <c r="S246">
        <f t="shared" si="16"/>
        <v>1470.3506</v>
      </c>
      <c r="T246">
        <f t="shared" si="17"/>
        <v>1281.6500000000001</v>
      </c>
      <c r="U246">
        <f t="shared" si="18"/>
        <v>188.70059999999989</v>
      </c>
      <c r="V246" t="str">
        <f t="shared" si="19"/>
        <v>Senior</v>
      </c>
    </row>
    <row r="247" spans="1:22" x14ac:dyDescent="0.35">
      <c r="A247" t="s">
        <v>431</v>
      </c>
      <c r="B247">
        <v>1024</v>
      </c>
      <c r="C247" s="1">
        <v>45043</v>
      </c>
      <c r="D247" s="1" t="str">
        <f t="shared" si="15"/>
        <v>Apr</v>
      </c>
      <c r="E247" t="s">
        <v>432</v>
      </c>
      <c r="F247">
        <v>21</v>
      </c>
      <c r="G247" t="s">
        <v>21</v>
      </c>
      <c r="H247" t="s">
        <v>38</v>
      </c>
      <c r="I247" t="s">
        <v>50</v>
      </c>
      <c r="J247">
        <v>42</v>
      </c>
      <c r="K247" s="4" t="s">
        <v>39</v>
      </c>
      <c r="L247">
        <v>2069.0500000000002</v>
      </c>
      <c r="M247">
        <v>2363.9</v>
      </c>
      <c r="N247" t="s">
        <v>25</v>
      </c>
      <c r="O247" s="30">
        <v>7.0000000000000007E-2</v>
      </c>
      <c r="P247" t="s">
        <v>26</v>
      </c>
      <c r="Q247" t="s">
        <v>27</v>
      </c>
      <c r="R247" t="s">
        <v>28</v>
      </c>
      <c r="S247">
        <f t="shared" si="16"/>
        <v>92333.933999999994</v>
      </c>
      <c r="T247">
        <f t="shared" si="17"/>
        <v>86900.1</v>
      </c>
      <c r="U247">
        <f t="shared" si="18"/>
        <v>5433.833999999988</v>
      </c>
      <c r="V247" t="str">
        <f t="shared" si="19"/>
        <v>Young</v>
      </c>
    </row>
    <row r="248" spans="1:22" x14ac:dyDescent="0.35">
      <c r="A248" t="s">
        <v>433</v>
      </c>
      <c r="B248">
        <v>1069</v>
      </c>
      <c r="C248" s="1">
        <v>45080</v>
      </c>
      <c r="D248" s="1" t="str">
        <f t="shared" si="15"/>
        <v>Jun</v>
      </c>
      <c r="E248" t="s">
        <v>228</v>
      </c>
      <c r="F248">
        <v>42</v>
      </c>
      <c r="G248" t="s">
        <v>100</v>
      </c>
      <c r="H248" t="s">
        <v>22</v>
      </c>
      <c r="I248" t="s">
        <v>50</v>
      </c>
      <c r="J248">
        <v>42</v>
      </c>
      <c r="K248" s="4" t="s">
        <v>45</v>
      </c>
      <c r="L248">
        <v>1434.2</v>
      </c>
      <c r="M248">
        <v>1482.88</v>
      </c>
      <c r="N248" t="s">
        <v>46</v>
      </c>
      <c r="O248" s="30">
        <v>0.28000000000000003</v>
      </c>
      <c r="P248" t="s">
        <v>47</v>
      </c>
      <c r="Q248" t="s">
        <v>34</v>
      </c>
      <c r="R248" t="s">
        <v>41</v>
      </c>
      <c r="S248">
        <f t="shared" si="16"/>
        <v>44842.2912</v>
      </c>
      <c r="T248">
        <f t="shared" si="17"/>
        <v>60236.4</v>
      </c>
      <c r="U248">
        <f t="shared" si="18"/>
        <v>-15394.108800000002</v>
      </c>
      <c r="V248" t="str">
        <f t="shared" si="19"/>
        <v>Senior</v>
      </c>
    </row>
    <row r="249" spans="1:22" x14ac:dyDescent="0.35">
      <c r="A249" t="s">
        <v>434</v>
      </c>
      <c r="B249">
        <v>1098</v>
      </c>
      <c r="C249" s="1">
        <v>45217</v>
      </c>
      <c r="D249" s="1" t="str">
        <f t="shared" si="15"/>
        <v>Oct</v>
      </c>
      <c r="E249" t="s">
        <v>141</v>
      </c>
      <c r="F249">
        <v>62</v>
      </c>
      <c r="G249" t="s">
        <v>65</v>
      </c>
      <c r="H249" t="s">
        <v>81</v>
      </c>
      <c r="I249" t="s">
        <v>33</v>
      </c>
      <c r="J249">
        <v>21</v>
      </c>
      <c r="K249" s="4" t="s">
        <v>24</v>
      </c>
      <c r="L249">
        <v>725.03</v>
      </c>
      <c r="M249">
        <v>828.95</v>
      </c>
      <c r="N249" t="s">
        <v>46</v>
      </c>
      <c r="O249" s="30">
        <v>0.18</v>
      </c>
      <c r="P249" t="s">
        <v>40</v>
      </c>
      <c r="Q249" t="s">
        <v>34</v>
      </c>
      <c r="R249" t="s">
        <v>35</v>
      </c>
      <c r="S249">
        <f t="shared" si="16"/>
        <v>14274.519000000002</v>
      </c>
      <c r="T249">
        <f t="shared" si="17"/>
        <v>15225.63</v>
      </c>
      <c r="U249">
        <f t="shared" si="18"/>
        <v>-951.11099999999715</v>
      </c>
      <c r="V249" t="str">
        <f t="shared" si="19"/>
        <v>Senior</v>
      </c>
    </row>
    <row r="250" spans="1:22" x14ac:dyDescent="0.35">
      <c r="A250" t="s">
        <v>435</v>
      </c>
      <c r="B250">
        <v>1070</v>
      </c>
      <c r="C250" s="1">
        <v>44989</v>
      </c>
      <c r="D250" s="1" t="str">
        <f t="shared" si="15"/>
        <v>Mar</v>
      </c>
      <c r="E250" t="s">
        <v>436</v>
      </c>
      <c r="F250">
        <v>59</v>
      </c>
      <c r="G250" t="s">
        <v>65</v>
      </c>
      <c r="H250" t="s">
        <v>22</v>
      </c>
      <c r="I250" t="s">
        <v>44</v>
      </c>
      <c r="J250">
        <v>15</v>
      </c>
      <c r="K250" s="4" t="s">
        <v>51</v>
      </c>
      <c r="L250">
        <v>3653.66</v>
      </c>
      <c r="M250">
        <v>3896.19</v>
      </c>
      <c r="N250" t="s">
        <v>46</v>
      </c>
      <c r="O250" s="30">
        <v>0.03</v>
      </c>
      <c r="P250" t="s">
        <v>47</v>
      </c>
      <c r="Q250" t="s">
        <v>27</v>
      </c>
      <c r="R250" t="s">
        <v>35</v>
      </c>
      <c r="S250">
        <f t="shared" si="16"/>
        <v>56689.5645</v>
      </c>
      <c r="T250">
        <f t="shared" si="17"/>
        <v>54804.899999999994</v>
      </c>
      <c r="U250">
        <f t="shared" si="18"/>
        <v>1884.6645000000062</v>
      </c>
      <c r="V250" t="str">
        <f t="shared" si="19"/>
        <v>Senior</v>
      </c>
    </row>
    <row r="251" spans="1:22" x14ac:dyDescent="0.35">
      <c r="A251" t="s">
        <v>437</v>
      </c>
      <c r="B251">
        <v>1086</v>
      </c>
      <c r="C251" s="1">
        <v>45170</v>
      </c>
      <c r="D251" s="1" t="str">
        <f t="shared" si="15"/>
        <v>Sep</v>
      </c>
      <c r="E251" t="s">
        <v>438</v>
      </c>
      <c r="F251">
        <v>42</v>
      </c>
      <c r="G251" t="s">
        <v>54</v>
      </c>
      <c r="H251" t="s">
        <v>38</v>
      </c>
      <c r="I251" t="s">
        <v>50</v>
      </c>
      <c r="J251">
        <v>17</v>
      </c>
      <c r="K251" s="4" t="s">
        <v>51</v>
      </c>
      <c r="L251">
        <v>4075.08</v>
      </c>
      <c r="M251">
        <v>4262.21</v>
      </c>
      <c r="N251" t="s">
        <v>46</v>
      </c>
      <c r="O251" s="30">
        <v>0.17</v>
      </c>
      <c r="P251" t="s">
        <v>26</v>
      </c>
      <c r="Q251" t="s">
        <v>27</v>
      </c>
      <c r="R251" t="s">
        <v>41</v>
      </c>
      <c r="S251">
        <f t="shared" si="16"/>
        <v>60139.783100000001</v>
      </c>
      <c r="T251">
        <f t="shared" si="17"/>
        <v>69276.36</v>
      </c>
      <c r="U251">
        <f t="shared" si="18"/>
        <v>-9136.5769</v>
      </c>
      <c r="V251" t="str">
        <f t="shared" si="19"/>
        <v>Senior</v>
      </c>
    </row>
    <row r="252" spans="1:22" x14ac:dyDescent="0.35">
      <c r="A252" t="s">
        <v>439</v>
      </c>
      <c r="B252">
        <v>1011</v>
      </c>
      <c r="C252" s="1">
        <v>44951</v>
      </c>
      <c r="D252" s="1" t="str">
        <f t="shared" si="15"/>
        <v>Jan</v>
      </c>
      <c r="E252" t="s">
        <v>374</v>
      </c>
      <c r="F252">
        <v>35</v>
      </c>
      <c r="G252" t="s">
        <v>31</v>
      </c>
      <c r="H252" t="s">
        <v>81</v>
      </c>
      <c r="I252" t="s">
        <v>33</v>
      </c>
      <c r="J252">
        <v>22</v>
      </c>
      <c r="K252" s="4" t="s">
        <v>51</v>
      </c>
      <c r="L252">
        <v>1324.52</v>
      </c>
      <c r="M252">
        <v>1510.3</v>
      </c>
      <c r="N252" t="s">
        <v>25</v>
      </c>
      <c r="O252" s="30">
        <v>0.15</v>
      </c>
      <c r="P252" t="s">
        <v>26</v>
      </c>
      <c r="Q252" t="s">
        <v>27</v>
      </c>
      <c r="R252" t="s">
        <v>35</v>
      </c>
      <c r="S252">
        <f t="shared" si="16"/>
        <v>28242.609999999997</v>
      </c>
      <c r="T252">
        <f t="shared" si="17"/>
        <v>29139.439999999999</v>
      </c>
      <c r="U252">
        <f t="shared" si="18"/>
        <v>-896.83000000000175</v>
      </c>
      <c r="V252" t="str">
        <f t="shared" si="19"/>
        <v>Adult</v>
      </c>
    </row>
    <row r="253" spans="1:22" x14ac:dyDescent="0.35">
      <c r="A253" t="s">
        <v>440</v>
      </c>
      <c r="B253">
        <v>1016</v>
      </c>
      <c r="C253" s="1">
        <v>45016</v>
      </c>
      <c r="D253" s="1" t="str">
        <f t="shared" si="15"/>
        <v>Mar</v>
      </c>
      <c r="E253" t="s">
        <v>441</v>
      </c>
      <c r="F253">
        <v>57</v>
      </c>
      <c r="G253" t="s">
        <v>100</v>
      </c>
      <c r="H253" t="s">
        <v>22</v>
      </c>
      <c r="I253" t="s">
        <v>23</v>
      </c>
      <c r="J253">
        <v>38</v>
      </c>
      <c r="K253" s="4" t="s">
        <v>51</v>
      </c>
      <c r="L253">
        <v>3883.38</v>
      </c>
      <c r="M253">
        <v>4152.72</v>
      </c>
      <c r="N253" t="s">
        <v>25</v>
      </c>
      <c r="O253" s="30">
        <v>0.26</v>
      </c>
      <c r="P253" t="s">
        <v>26</v>
      </c>
      <c r="Q253" t="s">
        <v>27</v>
      </c>
      <c r="R253" t="s">
        <v>41</v>
      </c>
      <c r="S253">
        <f t="shared" si="16"/>
        <v>116774.48640000001</v>
      </c>
      <c r="T253">
        <f t="shared" si="17"/>
        <v>147568.44</v>
      </c>
      <c r="U253">
        <f t="shared" si="18"/>
        <v>-30793.953599999993</v>
      </c>
      <c r="V253" t="str">
        <f t="shared" si="19"/>
        <v>Senior</v>
      </c>
    </row>
    <row r="254" spans="1:22" x14ac:dyDescent="0.35">
      <c r="A254" t="s">
        <v>442</v>
      </c>
      <c r="B254">
        <v>1097</v>
      </c>
      <c r="C254" s="1">
        <v>45001</v>
      </c>
      <c r="D254" s="1" t="str">
        <f t="shared" si="15"/>
        <v>Mar</v>
      </c>
      <c r="E254" t="s">
        <v>396</v>
      </c>
      <c r="F254">
        <v>25</v>
      </c>
      <c r="G254" t="s">
        <v>54</v>
      </c>
      <c r="H254" t="s">
        <v>22</v>
      </c>
      <c r="I254" t="s">
        <v>50</v>
      </c>
      <c r="J254">
        <v>35</v>
      </c>
      <c r="K254" s="4" t="s">
        <v>39</v>
      </c>
      <c r="L254">
        <v>1958.49</v>
      </c>
      <c r="M254">
        <v>2254.84</v>
      </c>
      <c r="N254" t="s">
        <v>46</v>
      </c>
      <c r="O254" s="30">
        <v>0.16</v>
      </c>
      <c r="P254" t="s">
        <v>47</v>
      </c>
      <c r="Q254" t="s">
        <v>27</v>
      </c>
      <c r="R254" t="s">
        <v>28</v>
      </c>
      <c r="S254">
        <f t="shared" si="16"/>
        <v>66292.296000000002</v>
      </c>
      <c r="T254">
        <f t="shared" si="17"/>
        <v>68547.149999999994</v>
      </c>
      <c r="U254">
        <f t="shared" si="18"/>
        <v>-2254.8539999999921</v>
      </c>
      <c r="V254" t="str">
        <f t="shared" si="19"/>
        <v>Adult</v>
      </c>
    </row>
    <row r="255" spans="1:22" x14ac:dyDescent="0.35">
      <c r="A255" t="s">
        <v>443</v>
      </c>
      <c r="B255">
        <v>1073</v>
      </c>
      <c r="C255" s="1">
        <v>45220</v>
      </c>
      <c r="D255" s="1" t="str">
        <f t="shared" si="15"/>
        <v>Oct</v>
      </c>
      <c r="E255" t="s">
        <v>341</v>
      </c>
      <c r="F255">
        <v>56</v>
      </c>
      <c r="G255" t="s">
        <v>21</v>
      </c>
      <c r="H255" t="s">
        <v>38</v>
      </c>
      <c r="I255" t="s">
        <v>44</v>
      </c>
      <c r="J255">
        <v>45</v>
      </c>
      <c r="K255" s="4" t="s">
        <v>24</v>
      </c>
      <c r="L255">
        <v>2558.09</v>
      </c>
      <c r="M255">
        <v>2958.55</v>
      </c>
      <c r="N255" t="s">
        <v>46</v>
      </c>
      <c r="O255" s="30">
        <v>0.08</v>
      </c>
      <c r="P255" t="s">
        <v>26</v>
      </c>
      <c r="Q255" t="s">
        <v>34</v>
      </c>
      <c r="R255" t="s">
        <v>41</v>
      </c>
      <c r="S255">
        <f t="shared" si="16"/>
        <v>122483.97</v>
      </c>
      <c r="T255">
        <f t="shared" si="17"/>
        <v>115114.05</v>
      </c>
      <c r="U255">
        <f t="shared" si="18"/>
        <v>7369.9199999999983</v>
      </c>
      <c r="V255" t="str">
        <f t="shared" si="19"/>
        <v>Senior</v>
      </c>
    </row>
    <row r="256" spans="1:22" x14ac:dyDescent="0.35">
      <c r="A256" t="s">
        <v>444</v>
      </c>
      <c r="B256">
        <v>1059</v>
      </c>
      <c r="C256" s="1">
        <v>45136</v>
      </c>
      <c r="D256" s="1" t="str">
        <f t="shared" si="15"/>
        <v>Jul</v>
      </c>
      <c r="E256" t="s">
        <v>445</v>
      </c>
      <c r="F256">
        <v>57</v>
      </c>
      <c r="G256" t="s">
        <v>21</v>
      </c>
      <c r="H256" t="s">
        <v>81</v>
      </c>
      <c r="I256" t="s">
        <v>44</v>
      </c>
      <c r="J256">
        <v>16</v>
      </c>
      <c r="K256" s="4" t="s">
        <v>24</v>
      </c>
      <c r="L256">
        <v>4287.21</v>
      </c>
      <c r="M256">
        <v>4464.28</v>
      </c>
      <c r="N256" t="s">
        <v>25</v>
      </c>
      <c r="O256" s="30">
        <v>0.2</v>
      </c>
      <c r="P256" t="s">
        <v>47</v>
      </c>
      <c r="Q256" t="s">
        <v>34</v>
      </c>
      <c r="R256" t="s">
        <v>28</v>
      </c>
      <c r="S256">
        <f t="shared" si="16"/>
        <v>57142.784</v>
      </c>
      <c r="T256">
        <f t="shared" si="17"/>
        <v>68595.360000000001</v>
      </c>
      <c r="U256">
        <f t="shared" si="18"/>
        <v>-11452.576000000001</v>
      </c>
      <c r="V256" t="str">
        <f t="shared" si="19"/>
        <v>Senior</v>
      </c>
    </row>
    <row r="257" spans="1:22" x14ac:dyDescent="0.35">
      <c r="A257" t="s">
        <v>446</v>
      </c>
      <c r="B257">
        <v>1070</v>
      </c>
      <c r="C257" s="1">
        <v>45273</v>
      </c>
      <c r="D257" s="1" t="str">
        <f t="shared" si="15"/>
        <v>Dec</v>
      </c>
      <c r="E257" t="s">
        <v>162</v>
      </c>
      <c r="F257">
        <v>31</v>
      </c>
      <c r="G257" t="s">
        <v>65</v>
      </c>
      <c r="H257" t="s">
        <v>38</v>
      </c>
      <c r="I257" t="s">
        <v>44</v>
      </c>
      <c r="J257">
        <v>8</v>
      </c>
      <c r="K257" s="4" t="s">
        <v>45</v>
      </c>
      <c r="L257">
        <v>3762.27</v>
      </c>
      <c r="M257">
        <v>4166.95</v>
      </c>
      <c r="N257" t="s">
        <v>25</v>
      </c>
      <c r="O257" s="30">
        <v>0.16</v>
      </c>
      <c r="P257" t="s">
        <v>40</v>
      </c>
      <c r="Q257" t="s">
        <v>27</v>
      </c>
      <c r="R257" t="s">
        <v>28</v>
      </c>
      <c r="S257">
        <f t="shared" si="16"/>
        <v>28001.903999999999</v>
      </c>
      <c r="T257">
        <f t="shared" si="17"/>
        <v>30098.16</v>
      </c>
      <c r="U257">
        <f t="shared" si="18"/>
        <v>-2096.2560000000012</v>
      </c>
      <c r="V257" t="str">
        <f t="shared" si="19"/>
        <v>Adult</v>
      </c>
    </row>
    <row r="258" spans="1:22" x14ac:dyDescent="0.35">
      <c r="A258" t="s">
        <v>447</v>
      </c>
      <c r="B258">
        <v>1080</v>
      </c>
      <c r="C258" s="1">
        <v>44943</v>
      </c>
      <c r="D258" s="1" t="str">
        <f t="shared" si="15"/>
        <v>Jan</v>
      </c>
      <c r="E258" t="s">
        <v>448</v>
      </c>
      <c r="F258">
        <v>49</v>
      </c>
      <c r="G258" t="s">
        <v>65</v>
      </c>
      <c r="H258" t="s">
        <v>81</v>
      </c>
      <c r="I258" t="s">
        <v>23</v>
      </c>
      <c r="J258">
        <v>47</v>
      </c>
      <c r="K258" s="4" t="s">
        <v>24</v>
      </c>
      <c r="L258">
        <v>4035.33</v>
      </c>
      <c r="M258">
        <v>4211.25</v>
      </c>
      <c r="N258" t="s">
        <v>25</v>
      </c>
      <c r="O258" s="30">
        <v>7.0000000000000007E-2</v>
      </c>
      <c r="P258" t="s">
        <v>40</v>
      </c>
      <c r="Q258" t="s">
        <v>34</v>
      </c>
      <c r="R258" t="s">
        <v>35</v>
      </c>
      <c r="S258">
        <f t="shared" si="16"/>
        <v>184073.73749999999</v>
      </c>
      <c r="T258">
        <f t="shared" si="17"/>
        <v>189660.51</v>
      </c>
      <c r="U258">
        <f t="shared" si="18"/>
        <v>-5586.772500000021</v>
      </c>
      <c r="V258" t="str">
        <f t="shared" si="19"/>
        <v>Senior</v>
      </c>
    </row>
    <row r="259" spans="1:22" x14ac:dyDescent="0.35">
      <c r="A259" t="s">
        <v>449</v>
      </c>
      <c r="B259">
        <v>1093</v>
      </c>
      <c r="C259" s="1">
        <v>45054</v>
      </c>
      <c r="D259" s="1" t="str">
        <f t="shared" ref="D259:D301" si="20">TEXT(C259,"mmm")</f>
        <v>May</v>
      </c>
      <c r="E259" t="s">
        <v>277</v>
      </c>
      <c r="F259">
        <v>55</v>
      </c>
      <c r="G259" t="s">
        <v>21</v>
      </c>
      <c r="H259" t="s">
        <v>32</v>
      </c>
      <c r="I259" t="s">
        <v>50</v>
      </c>
      <c r="J259">
        <v>17</v>
      </c>
      <c r="K259" s="4" t="s">
        <v>24</v>
      </c>
      <c r="L259">
        <v>727.38</v>
      </c>
      <c r="M259">
        <v>764.54</v>
      </c>
      <c r="N259" t="s">
        <v>25</v>
      </c>
      <c r="O259" s="30">
        <v>0.17</v>
      </c>
      <c r="P259" t="s">
        <v>47</v>
      </c>
      <c r="Q259" t="s">
        <v>34</v>
      </c>
      <c r="R259" t="s">
        <v>35</v>
      </c>
      <c r="S259">
        <f t="shared" ref="S259:S301" si="21">J259*M259*(1-O259)</f>
        <v>10787.6594</v>
      </c>
      <c r="T259">
        <f t="shared" ref="T259:T301" si="22">L259*J259</f>
        <v>12365.46</v>
      </c>
      <c r="U259">
        <f t="shared" ref="U259:U301" si="23">S259-T259</f>
        <v>-1577.8005999999987</v>
      </c>
      <c r="V259" t="str">
        <f t="shared" ref="V259:V301" si="24">_xlfn.IFS(
F259&lt;25,"Young",
F259&lt;=40,"Adult",
F259&gt;40,"Senior"
)</f>
        <v>Senior</v>
      </c>
    </row>
    <row r="260" spans="1:22" x14ac:dyDescent="0.35">
      <c r="A260" t="s">
        <v>450</v>
      </c>
      <c r="B260">
        <v>1003</v>
      </c>
      <c r="C260" s="1">
        <v>45290</v>
      </c>
      <c r="D260" s="1" t="str">
        <f t="shared" si="20"/>
        <v>Dec</v>
      </c>
      <c r="E260" t="s">
        <v>104</v>
      </c>
      <c r="F260">
        <v>50</v>
      </c>
      <c r="G260" t="s">
        <v>65</v>
      </c>
      <c r="H260" t="s">
        <v>54</v>
      </c>
      <c r="I260" t="s">
        <v>50</v>
      </c>
      <c r="J260">
        <v>17</v>
      </c>
      <c r="K260" s="4" t="s">
        <v>24</v>
      </c>
      <c r="L260">
        <v>395.11</v>
      </c>
      <c r="M260">
        <v>676.66</v>
      </c>
      <c r="N260" t="s">
        <v>25</v>
      </c>
      <c r="O260" s="30">
        <v>0.25</v>
      </c>
      <c r="P260" t="s">
        <v>26</v>
      </c>
      <c r="Q260" t="s">
        <v>34</v>
      </c>
      <c r="R260" t="s">
        <v>35</v>
      </c>
      <c r="S260">
        <f t="shared" si="21"/>
        <v>8627.4149999999991</v>
      </c>
      <c r="T260">
        <f t="shared" si="22"/>
        <v>6716.87</v>
      </c>
      <c r="U260">
        <f t="shared" si="23"/>
        <v>1910.5449999999992</v>
      </c>
      <c r="V260" t="str">
        <f t="shared" si="24"/>
        <v>Senior</v>
      </c>
    </row>
    <row r="261" spans="1:22" x14ac:dyDescent="0.35">
      <c r="A261" t="s">
        <v>451</v>
      </c>
      <c r="B261">
        <v>1020</v>
      </c>
      <c r="C261" s="1">
        <v>45177</v>
      </c>
      <c r="D261" s="1" t="str">
        <f t="shared" si="20"/>
        <v>Sep</v>
      </c>
      <c r="E261" t="s">
        <v>102</v>
      </c>
      <c r="F261">
        <v>40</v>
      </c>
      <c r="G261" t="s">
        <v>100</v>
      </c>
      <c r="H261" t="s">
        <v>54</v>
      </c>
      <c r="I261" t="s">
        <v>23</v>
      </c>
      <c r="J261">
        <v>26</v>
      </c>
      <c r="K261" s="4" t="s">
        <v>45</v>
      </c>
      <c r="L261">
        <v>4472.3500000000004</v>
      </c>
      <c r="M261">
        <v>4770.42</v>
      </c>
      <c r="N261" t="s">
        <v>46</v>
      </c>
      <c r="O261" s="30">
        <v>0.01</v>
      </c>
      <c r="P261" t="s">
        <v>47</v>
      </c>
      <c r="Q261" t="s">
        <v>27</v>
      </c>
      <c r="R261" t="s">
        <v>41</v>
      </c>
      <c r="S261">
        <f t="shared" si="21"/>
        <v>122790.61079999999</v>
      </c>
      <c r="T261">
        <f t="shared" si="22"/>
        <v>116281.1</v>
      </c>
      <c r="U261">
        <f t="shared" si="23"/>
        <v>6509.5107999999891</v>
      </c>
      <c r="V261" t="str">
        <f t="shared" si="24"/>
        <v>Adult</v>
      </c>
    </row>
    <row r="262" spans="1:22" x14ac:dyDescent="0.35">
      <c r="A262" t="s">
        <v>452</v>
      </c>
      <c r="B262">
        <v>1059</v>
      </c>
      <c r="C262" s="1">
        <v>45105</v>
      </c>
      <c r="D262" s="1" t="str">
        <f t="shared" si="20"/>
        <v>Jun</v>
      </c>
      <c r="E262" t="s">
        <v>368</v>
      </c>
      <c r="F262">
        <v>32</v>
      </c>
      <c r="G262" t="s">
        <v>65</v>
      </c>
      <c r="H262" t="s">
        <v>54</v>
      </c>
      <c r="I262" t="s">
        <v>50</v>
      </c>
      <c r="J262">
        <v>13</v>
      </c>
      <c r="K262" s="4" t="s">
        <v>51</v>
      </c>
      <c r="L262">
        <v>1969.78</v>
      </c>
      <c r="M262">
        <v>2437.6999999999998</v>
      </c>
      <c r="N262" t="s">
        <v>46</v>
      </c>
      <c r="O262" s="30">
        <v>0.19</v>
      </c>
      <c r="P262" t="s">
        <v>47</v>
      </c>
      <c r="Q262" t="s">
        <v>34</v>
      </c>
      <c r="R262" t="s">
        <v>41</v>
      </c>
      <c r="S262">
        <f t="shared" si="21"/>
        <v>25668.981</v>
      </c>
      <c r="T262">
        <f t="shared" si="22"/>
        <v>25607.14</v>
      </c>
      <c r="U262">
        <f t="shared" si="23"/>
        <v>61.841000000000349</v>
      </c>
      <c r="V262" t="str">
        <f t="shared" si="24"/>
        <v>Adult</v>
      </c>
    </row>
    <row r="263" spans="1:22" x14ac:dyDescent="0.35">
      <c r="A263" t="s">
        <v>453</v>
      </c>
      <c r="B263">
        <v>1036</v>
      </c>
      <c r="C263" s="1">
        <v>45108</v>
      </c>
      <c r="D263" s="1" t="str">
        <f t="shared" si="20"/>
        <v>Jul</v>
      </c>
      <c r="E263" t="s">
        <v>454</v>
      </c>
      <c r="F263">
        <v>50</v>
      </c>
      <c r="G263" t="s">
        <v>31</v>
      </c>
      <c r="H263" t="s">
        <v>38</v>
      </c>
      <c r="I263" t="s">
        <v>23</v>
      </c>
      <c r="J263">
        <v>17</v>
      </c>
      <c r="K263" s="4" t="s">
        <v>24</v>
      </c>
      <c r="L263">
        <v>1475</v>
      </c>
      <c r="M263">
        <v>1840.77</v>
      </c>
      <c r="N263" t="s">
        <v>25</v>
      </c>
      <c r="O263" s="30">
        <v>0.1</v>
      </c>
      <c r="P263" t="s">
        <v>47</v>
      </c>
      <c r="Q263" t="s">
        <v>34</v>
      </c>
      <c r="R263" t="s">
        <v>35</v>
      </c>
      <c r="S263">
        <f t="shared" si="21"/>
        <v>28163.780999999999</v>
      </c>
      <c r="T263">
        <f t="shared" si="22"/>
        <v>25075</v>
      </c>
      <c r="U263">
        <f t="shared" si="23"/>
        <v>3088.780999999999</v>
      </c>
      <c r="V263" t="str">
        <f t="shared" si="24"/>
        <v>Senior</v>
      </c>
    </row>
    <row r="264" spans="1:22" x14ac:dyDescent="0.35">
      <c r="A264" t="s">
        <v>455</v>
      </c>
      <c r="B264">
        <v>1019</v>
      </c>
      <c r="C264" s="1">
        <v>45078</v>
      </c>
      <c r="D264" s="1" t="str">
        <f t="shared" si="20"/>
        <v>Jun</v>
      </c>
      <c r="E264" t="s">
        <v>312</v>
      </c>
      <c r="F264">
        <v>42</v>
      </c>
      <c r="G264" t="s">
        <v>65</v>
      </c>
      <c r="H264" t="s">
        <v>32</v>
      </c>
      <c r="I264" t="s">
        <v>23</v>
      </c>
      <c r="J264">
        <v>38</v>
      </c>
      <c r="K264" s="4" t="s">
        <v>45</v>
      </c>
      <c r="L264">
        <v>3637.25</v>
      </c>
      <c r="M264">
        <v>4096.96</v>
      </c>
      <c r="N264" t="s">
        <v>25</v>
      </c>
      <c r="O264" s="30">
        <v>0.09</v>
      </c>
      <c r="P264" t="s">
        <v>40</v>
      </c>
      <c r="Q264" t="s">
        <v>34</v>
      </c>
      <c r="R264" t="s">
        <v>41</v>
      </c>
      <c r="S264">
        <f t="shared" si="21"/>
        <v>141672.87680000003</v>
      </c>
      <c r="T264">
        <f t="shared" si="22"/>
        <v>138215.5</v>
      </c>
      <c r="U264">
        <f t="shared" si="23"/>
        <v>3457.3768000000273</v>
      </c>
      <c r="V264" t="str">
        <f t="shared" si="24"/>
        <v>Senior</v>
      </c>
    </row>
    <row r="265" spans="1:22" x14ac:dyDescent="0.35">
      <c r="A265" t="s">
        <v>456</v>
      </c>
      <c r="B265">
        <v>1090</v>
      </c>
      <c r="C265" s="1">
        <v>44951</v>
      </c>
      <c r="D265" s="1" t="str">
        <f t="shared" si="20"/>
        <v>Jan</v>
      </c>
      <c r="E265" t="s">
        <v>252</v>
      </c>
      <c r="F265">
        <v>34</v>
      </c>
      <c r="G265" t="s">
        <v>54</v>
      </c>
      <c r="H265" t="s">
        <v>81</v>
      </c>
      <c r="I265" t="s">
        <v>23</v>
      </c>
      <c r="J265">
        <v>17</v>
      </c>
      <c r="K265" s="4" t="s">
        <v>45</v>
      </c>
      <c r="L265">
        <v>4190.26</v>
      </c>
      <c r="M265">
        <v>4645.3500000000004</v>
      </c>
      <c r="N265" t="s">
        <v>46</v>
      </c>
      <c r="O265" s="30">
        <v>0.12</v>
      </c>
      <c r="P265" t="s">
        <v>47</v>
      </c>
      <c r="Q265" t="s">
        <v>27</v>
      </c>
      <c r="R265" t="s">
        <v>35</v>
      </c>
      <c r="S265">
        <f t="shared" si="21"/>
        <v>69494.436000000016</v>
      </c>
      <c r="T265">
        <f t="shared" si="22"/>
        <v>71234.42</v>
      </c>
      <c r="U265">
        <f t="shared" si="23"/>
        <v>-1739.9839999999822</v>
      </c>
      <c r="V265" t="str">
        <f t="shared" si="24"/>
        <v>Adult</v>
      </c>
    </row>
    <row r="266" spans="1:22" x14ac:dyDescent="0.35">
      <c r="A266" t="s">
        <v>457</v>
      </c>
      <c r="B266">
        <v>1067</v>
      </c>
      <c r="C266" s="1">
        <v>45106</v>
      </c>
      <c r="D266" s="1" t="str">
        <f t="shared" si="20"/>
        <v>Jun</v>
      </c>
      <c r="E266" t="s">
        <v>97</v>
      </c>
      <c r="F266">
        <v>50</v>
      </c>
      <c r="G266" t="s">
        <v>100</v>
      </c>
      <c r="H266" t="s">
        <v>22</v>
      </c>
      <c r="I266" t="s">
        <v>44</v>
      </c>
      <c r="J266">
        <v>48</v>
      </c>
      <c r="K266" s="4" t="s">
        <v>39</v>
      </c>
      <c r="L266">
        <v>4319.32</v>
      </c>
      <c r="M266">
        <v>4625.5600000000004</v>
      </c>
      <c r="N266" t="s">
        <v>25</v>
      </c>
      <c r="O266" s="30">
        <v>0.1</v>
      </c>
      <c r="P266" t="s">
        <v>40</v>
      </c>
      <c r="Q266" t="s">
        <v>34</v>
      </c>
      <c r="R266" t="s">
        <v>41</v>
      </c>
      <c r="S266">
        <f t="shared" si="21"/>
        <v>199824.19200000001</v>
      </c>
      <c r="T266">
        <f t="shared" si="22"/>
        <v>207327.35999999999</v>
      </c>
      <c r="U266">
        <f t="shared" si="23"/>
        <v>-7503.167999999976</v>
      </c>
      <c r="V266" t="str">
        <f t="shared" si="24"/>
        <v>Senior</v>
      </c>
    </row>
    <row r="267" spans="1:22" x14ac:dyDescent="0.35">
      <c r="A267" t="s">
        <v>458</v>
      </c>
      <c r="B267">
        <v>1019</v>
      </c>
      <c r="C267" s="1">
        <v>45124</v>
      </c>
      <c r="D267" s="1" t="str">
        <f t="shared" si="20"/>
        <v>Jul</v>
      </c>
      <c r="E267" t="s">
        <v>160</v>
      </c>
      <c r="F267">
        <v>64</v>
      </c>
      <c r="G267" t="s">
        <v>54</v>
      </c>
      <c r="H267" t="s">
        <v>81</v>
      </c>
      <c r="I267" t="s">
        <v>50</v>
      </c>
      <c r="J267">
        <v>14</v>
      </c>
      <c r="K267" s="4" t="s">
        <v>45</v>
      </c>
      <c r="L267">
        <v>1614.19</v>
      </c>
      <c r="M267">
        <v>1882.79</v>
      </c>
      <c r="N267" t="s">
        <v>46</v>
      </c>
      <c r="O267" s="30">
        <v>0.25</v>
      </c>
      <c r="P267" t="s">
        <v>47</v>
      </c>
      <c r="Q267" t="s">
        <v>34</v>
      </c>
      <c r="R267" t="s">
        <v>28</v>
      </c>
      <c r="S267">
        <f t="shared" si="21"/>
        <v>19769.294999999998</v>
      </c>
      <c r="T267">
        <f t="shared" si="22"/>
        <v>22598.66</v>
      </c>
      <c r="U267">
        <f t="shared" si="23"/>
        <v>-2829.3650000000016</v>
      </c>
      <c r="V267" t="str">
        <f t="shared" si="24"/>
        <v>Senior</v>
      </c>
    </row>
    <row r="268" spans="1:22" x14ac:dyDescent="0.35">
      <c r="A268" t="s">
        <v>459</v>
      </c>
      <c r="B268">
        <v>1020</v>
      </c>
      <c r="C268" s="1">
        <v>45270</v>
      </c>
      <c r="D268" s="1" t="str">
        <f t="shared" si="20"/>
        <v>Dec</v>
      </c>
      <c r="E268" t="s">
        <v>307</v>
      </c>
      <c r="F268">
        <v>19</v>
      </c>
      <c r="G268" t="s">
        <v>54</v>
      </c>
      <c r="H268" t="s">
        <v>22</v>
      </c>
      <c r="I268" t="s">
        <v>23</v>
      </c>
      <c r="J268">
        <v>45</v>
      </c>
      <c r="K268" s="4" t="s">
        <v>51</v>
      </c>
      <c r="L268">
        <v>4268.45</v>
      </c>
      <c r="M268">
        <v>4551.6000000000004</v>
      </c>
      <c r="N268" t="s">
        <v>46</v>
      </c>
      <c r="O268" s="30">
        <v>0.08</v>
      </c>
      <c r="P268" t="s">
        <v>40</v>
      </c>
      <c r="Q268" t="s">
        <v>27</v>
      </c>
      <c r="R268" t="s">
        <v>28</v>
      </c>
      <c r="S268">
        <f t="shared" si="21"/>
        <v>188436.24000000005</v>
      </c>
      <c r="T268">
        <f t="shared" si="22"/>
        <v>192080.25</v>
      </c>
      <c r="U268">
        <f t="shared" si="23"/>
        <v>-3644.0099999999511</v>
      </c>
      <c r="V268" t="str">
        <f t="shared" si="24"/>
        <v>Young</v>
      </c>
    </row>
    <row r="269" spans="1:22" x14ac:dyDescent="0.35">
      <c r="A269" t="s">
        <v>460</v>
      </c>
      <c r="B269">
        <v>1096</v>
      </c>
      <c r="C269" s="1">
        <v>45087</v>
      </c>
      <c r="D269" s="1" t="str">
        <f t="shared" si="20"/>
        <v>Jun</v>
      </c>
      <c r="E269" t="s">
        <v>168</v>
      </c>
      <c r="F269">
        <v>31</v>
      </c>
      <c r="G269" t="s">
        <v>31</v>
      </c>
      <c r="H269" t="s">
        <v>81</v>
      </c>
      <c r="I269" t="s">
        <v>50</v>
      </c>
      <c r="J269">
        <v>6</v>
      </c>
      <c r="K269" s="4" t="s">
        <v>24</v>
      </c>
      <c r="L269">
        <v>252.62</v>
      </c>
      <c r="M269">
        <v>742</v>
      </c>
      <c r="N269" t="s">
        <v>46</v>
      </c>
      <c r="O269" s="30">
        <v>0.22</v>
      </c>
      <c r="P269" t="s">
        <v>47</v>
      </c>
      <c r="Q269" t="s">
        <v>27</v>
      </c>
      <c r="R269" t="s">
        <v>35</v>
      </c>
      <c r="S269">
        <f t="shared" si="21"/>
        <v>3472.56</v>
      </c>
      <c r="T269">
        <f t="shared" si="22"/>
        <v>1515.72</v>
      </c>
      <c r="U269">
        <f t="shared" si="23"/>
        <v>1956.84</v>
      </c>
      <c r="V269" t="str">
        <f t="shared" si="24"/>
        <v>Adult</v>
      </c>
    </row>
    <row r="270" spans="1:22" x14ac:dyDescent="0.35">
      <c r="A270" t="s">
        <v>461</v>
      </c>
      <c r="B270">
        <v>1071</v>
      </c>
      <c r="C270" s="1">
        <v>45103</v>
      </c>
      <c r="D270" s="1" t="str">
        <f t="shared" si="20"/>
        <v>Jun</v>
      </c>
      <c r="E270" t="s">
        <v>277</v>
      </c>
      <c r="F270">
        <v>57</v>
      </c>
      <c r="G270" t="s">
        <v>100</v>
      </c>
      <c r="H270" t="s">
        <v>32</v>
      </c>
      <c r="I270" t="s">
        <v>44</v>
      </c>
      <c r="J270">
        <v>35</v>
      </c>
      <c r="K270" s="4" t="s">
        <v>45</v>
      </c>
      <c r="L270">
        <v>295.82</v>
      </c>
      <c r="M270">
        <v>684.67</v>
      </c>
      <c r="N270" t="s">
        <v>46</v>
      </c>
      <c r="O270" s="30">
        <v>0.03</v>
      </c>
      <c r="P270" t="s">
        <v>47</v>
      </c>
      <c r="Q270" t="s">
        <v>34</v>
      </c>
      <c r="R270" t="s">
        <v>41</v>
      </c>
      <c r="S270">
        <f t="shared" si="21"/>
        <v>23244.546499999997</v>
      </c>
      <c r="T270">
        <f t="shared" si="22"/>
        <v>10353.699999999999</v>
      </c>
      <c r="U270">
        <f t="shared" si="23"/>
        <v>12890.846499999998</v>
      </c>
      <c r="V270" t="str">
        <f t="shared" si="24"/>
        <v>Senior</v>
      </c>
    </row>
    <row r="271" spans="1:22" x14ac:dyDescent="0.35">
      <c r="A271" t="s">
        <v>462</v>
      </c>
      <c r="B271">
        <v>1052</v>
      </c>
      <c r="C271" s="1">
        <v>45211</v>
      </c>
      <c r="D271" s="1" t="str">
        <f t="shared" si="20"/>
        <v>Oct</v>
      </c>
      <c r="E271" t="s">
        <v>205</v>
      </c>
      <c r="F271">
        <v>57</v>
      </c>
      <c r="G271" t="s">
        <v>100</v>
      </c>
      <c r="H271" t="s">
        <v>22</v>
      </c>
      <c r="I271" t="s">
        <v>23</v>
      </c>
      <c r="J271">
        <v>46</v>
      </c>
      <c r="K271" s="4" t="s">
        <v>51</v>
      </c>
      <c r="L271">
        <v>3136.42</v>
      </c>
      <c r="M271">
        <v>3198.49</v>
      </c>
      <c r="N271" t="s">
        <v>25</v>
      </c>
      <c r="O271" s="30">
        <v>0.28999999999999998</v>
      </c>
      <c r="P271" t="s">
        <v>26</v>
      </c>
      <c r="Q271" t="s">
        <v>34</v>
      </c>
      <c r="R271" t="s">
        <v>41</v>
      </c>
      <c r="S271">
        <f t="shared" si="21"/>
        <v>104462.68339999998</v>
      </c>
      <c r="T271">
        <f t="shared" si="22"/>
        <v>144275.32</v>
      </c>
      <c r="U271">
        <f t="shared" si="23"/>
        <v>-39812.636600000027</v>
      </c>
      <c r="V271" t="str">
        <f t="shared" si="24"/>
        <v>Senior</v>
      </c>
    </row>
    <row r="272" spans="1:22" x14ac:dyDescent="0.35">
      <c r="A272" t="s">
        <v>463</v>
      </c>
      <c r="B272">
        <v>1033</v>
      </c>
      <c r="C272" s="1">
        <v>44989</v>
      </c>
      <c r="D272" s="1" t="str">
        <f t="shared" si="20"/>
        <v>Mar</v>
      </c>
      <c r="E272" t="s">
        <v>464</v>
      </c>
      <c r="F272">
        <v>56</v>
      </c>
      <c r="G272" t="s">
        <v>100</v>
      </c>
      <c r="H272" t="s">
        <v>38</v>
      </c>
      <c r="I272" t="s">
        <v>33</v>
      </c>
      <c r="J272">
        <v>14</v>
      </c>
      <c r="K272" s="4" t="s">
        <v>45</v>
      </c>
      <c r="L272">
        <v>362.38</v>
      </c>
      <c r="M272">
        <v>753.81</v>
      </c>
      <c r="N272" t="s">
        <v>25</v>
      </c>
      <c r="O272" s="30">
        <v>0.19</v>
      </c>
      <c r="P272" t="s">
        <v>26</v>
      </c>
      <c r="Q272" t="s">
        <v>27</v>
      </c>
      <c r="R272" t="s">
        <v>28</v>
      </c>
      <c r="S272">
        <f t="shared" si="21"/>
        <v>8548.2054000000007</v>
      </c>
      <c r="T272">
        <f t="shared" si="22"/>
        <v>5073.32</v>
      </c>
      <c r="U272">
        <f t="shared" si="23"/>
        <v>3474.885400000001</v>
      </c>
      <c r="V272" t="str">
        <f t="shared" si="24"/>
        <v>Senior</v>
      </c>
    </row>
    <row r="273" spans="1:22" x14ac:dyDescent="0.35">
      <c r="A273" t="s">
        <v>465</v>
      </c>
      <c r="B273">
        <v>1040</v>
      </c>
      <c r="C273" s="1">
        <v>45076</v>
      </c>
      <c r="D273" s="1" t="str">
        <f t="shared" si="20"/>
        <v>May</v>
      </c>
      <c r="E273" t="s">
        <v>454</v>
      </c>
      <c r="F273">
        <v>23</v>
      </c>
      <c r="G273" t="s">
        <v>100</v>
      </c>
      <c r="H273" t="s">
        <v>81</v>
      </c>
      <c r="I273" t="s">
        <v>44</v>
      </c>
      <c r="J273">
        <v>47</v>
      </c>
      <c r="K273" s="4" t="s">
        <v>45</v>
      </c>
      <c r="L273">
        <v>1656.82</v>
      </c>
      <c r="M273">
        <v>1750.38</v>
      </c>
      <c r="N273" t="s">
        <v>46</v>
      </c>
      <c r="O273" s="30">
        <v>0.21</v>
      </c>
      <c r="P273" t="s">
        <v>47</v>
      </c>
      <c r="Q273" t="s">
        <v>27</v>
      </c>
      <c r="R273" t="s">
        <v>28</v>
      </c>
      <c r="S273">
        <f t="shared" si="21"/>
        <v>64991.609400000001</v>
      </c>
      <c r="T273">
        <f t="shared" si="22"/>
        <v>77870.539999999994</v>
      </c>
      <c r="U273">
        <f t="shared" si="23"/>
        <v>-12878.930599999992</v>
      </c>
      <c r="V273" t="str">
        <f t="shared" si="24"/>
        <v>Young</v>
      </c>
    </row>
    <row r="274" spans="1:22" x14ac:dyDescent="0.35">
      <c r="A274" t="s">
        <v>466</v>
      </c>
      <c r="B274">
        <v>1039</v>
      </c>
      <c r="C274" s="1">
        <v>45080</v>
      </c>
      <c r="D274" s="1" t="str">
        <f t="shared" si="20"/>
        <v>Jun</v>
      </c>
      <c r="E274" t="s">
        <v>467</v>
      </c>
      <c r="F274">
        <v>23</v>
      </c>
      <c r="G274" t="s">
        <v>100</v>
      </c>
      <c r="H274" t="s">
        <v>81</v>
      </c>
      <c r="I274" t="s">
        <v>33</v>
      </c>
      <c r="J274">
        <v>8</v>
      </c>
      <c r="K274" s="4" t="s">
        <v>45</v>
      </c>
      <c r="L274">
        <v>3380.14</v>
      </c>
      <c r="M274">
        <v>3609.34</v>
      </c>
      <c r="N274" t="s">
        <v>25</v>
      </c>
      <c r="O274" s="30">
        <v>0.09</v>
      </c>
      <c r="P274" t="s">
        <v>47</v>
      </c>
      <c r="Q274" t="s">
        <v>27</v>
      </c>
      <c r="R274" t="s">
        <v>35</v>
      </c>
      <c r="S274">
        <f t="shared" si="21"/>
        <v>26275.995200000001</v>
      </c>
      <c r="T274">
        <f t="shared" si="22"/>
        <v>27041.119999999999</v>
      </c>
      <c r="U274">
        <f t="shared" si="23"/>
        <v>-765.12479999999778</v>
      </c>
      <c r="V274" t="str">
        <f t="shared" si="24"/>
        <v>Young</v>
      </c>
    </row>
    <row r="275" spans="1:22" x14ac:dyDescent="0.35">
      <c r="A275" t="s">
        <v>468</v>
      </c>
      <c r="B275">
        <v>1082</v>
      </c>
      <c r="C275" s="1">
        <v>45082</v>
      </c>
      <c r="D275" s="1" t="str">
        <f t="shared" si="20"/>
        <v>Jun</v>
      </c>
      <c r="E275" t="s">
        <v>274</v>
      </c>
      <c r="F275">
        <v>20</v>
      </c>
      <c r="G275" t="s">
        <v>31</v>
      </c>
      <c r="H275" t="s">
        <v>22</v>
      </c>
      <c r="I275" t="s">
        <v>50</v>
      </c>
      <c r="J275">
        <v>15</v>
      </c>
      <c r="K275" s="4" t="s">
        <v>45</v>
      </c>
      <c r="L275">
        <v>1719.47</v>
      </c>
      <c r="M275">
        <v>1832.6</v>
      </c>
      <c r="N275" t="s">
        <v>25</v>
      </c>
      <c r="O275" s="30">
        <v>0.12</v>
      </c>
      <c r="P275" t="s">
        <v>47</v>
      </c>
      <c r="Q275" t="s">
        <v>27</v>
      </c>
      <c r="R275" t="s">
        <v>28</v>
      </c>
      <c r="S275">
        <f t="shared" si="21"/>
        <v>24190.32</v>
      </c>
      <c r="T275">
        <f t="shared" si="22"/>
        <v>25792.05</v>
      </c>
      <c r="U275">
        <f t="shared" si="23"/>
        <v>-1601.7299999999996</v>
      </c>
      <c r="V275" t="str">
        <f t="shared" si="24"/>
        <v>Young</v>
      </c>
    </row>
    <row r="276" spans="1:22" x14ac:dyDescent="0.35">
      <c r="A276" t="s">
        <v>469</v>
      </c>
      <c r="B276">
        <v>1001</v>
      </c>
      <c r="C276" s="1">
        <v>44975</v>
      </c>
      <c r="D276" s="1" t="str">
        <f t="shared" si="20"/>
        <v>Feb</v>
      </c>
      <c r="E276" t="s">
        <v>254</v>
      </c>
      <c r="F276">
        <v>24</v>
      </c>
      <c r="G276" t="s">
        <v>65</v>
      </c>
      <c r="H276" t="s">
        <v>38</v>
      </c>
      <c r="I276" t="s">
        <v>50</v>
      </c>
      <c r="J276">
        <v>27</v>
      </c>
      <c r="K276" s="4" t="s">
        <v>45</v>
      </c>
      <c r="L276">
        <v>939.02</v>
      </c>
      <c r="M276">
        <v>1286.92</v>
      </c>
      <c r="N276" t="s">
        <v>25</v>
      </c>
      <c r="O276" s="30">
        <v>7.0000000000000007E-2</v>
      </c>
      <c r="P276" t="s">
        <v>47</v>
      </c>
      <c r="Q276" t="s">
        <v>27</v>
      </c>
      <c r="R276" t="s">
        <v>35</v>
      </c>
      <c r="S276">
        <f t="shared" si="21"/>
        <v>32314.5612</v>
      </c>
      <c r="T276">
        <f t="shared" si="22"/>
        <v>25353.54</v>
      </c>
      <c r="U276">
        <f t="shared" si="23"/>
        <v>6961.0211999999992</v>
      </c>
      <c r="V276" t="str">
        <f t="shared" si="24"/>
        <v>Young</v>
      </c>
    </row>
    <row r="277" spans="1:22" x14ac:dyDescent="0.35">
      <c r="A277" t="s">
        <v>470</v>
      </c>
      <c r="B277">
        <v>1011</v>
      </c>
      <c r="C277" s="1">
        <v>45263</v>
      </c>
      <c r="D277" s="1" t="str">
        <f t="shared" si="20"/>
        <v>Dec</v>
      </c>
      <c r="E277" t="s">
        <v>402</v>
      </c>
      <c r="F277">
        <v>25</v>
      </c>
      <c r="G277" t="s">
        <v>54</v>
      </c>
      <c r="H277" t="s">
        <v>38</v>
      </c>
      <c r="I277" t="s">
        <v>44</v>
      </c>
      <c r="J277">
        <v>13</v>
      </c>
      <c r="K277" s="4" t="s">
        <v>51</v>
      </c>
      <c r="L277">
        <v>1442.69</v>
      </c>
      <c r="M277">
        <v>1882.57</v>
      </c>
      <c r="N277" t="s">
        <v>25</v>
      </c>
      <c r="O277" s="30">
        <v>0.28000000000000003</v>
      </c>
      <c r="P277" t="s">
        <v>26</v>
      </c>
      <c r="Q277" t="s">
        <v>27</v>
      </c>
      <c r="R277" t="s">
        <v>28</v>
      </c>
      <c r="S277">
        <f t="shared" si="21"/>
        <v>17620.855199999998</v>
      </c>
      <c r="T277">
        <f t="shared" si="22"/>
        <v>18754.97</v>
      </c>
      <c r="U277">
        <f t="shared" si="23"/>
        <v>-1134.114800000003</v>
      </c>
      <c r="V277" t="str">
        <f t="shared" si="24"/>
        <v>Adult</v>
      </c>
    </row>
    <row r="278" spans="1:22" x14ac:dyDescent="0.35">
      <c r="A278" t="s">
        <v>471</v>
      </c>
      <c r="B278">
        <v>1092</v>
      </c>
      <c r="C278" s="1">
        <v>45010</v>
      </c>
      <c r="D278" s="1" t="str">
        <f t="shared" si="20"/>
        <v>Mar</v>
      </c>
      <c r="E278" t="s">
        <v>248</v>
      </c>
      <c r="F278">
        <v>59</v>
      </c>
      <c r="G278" t="s">
        <v>100</v>
      </c>
      <c r="H278" t="s">
        <v>32</v>
      </c>
      <c r="I278" t="s">
        <v>50</v>
      </c>
      <c r="J278">
        <v>49</v>
      </c>
      <c r="K278" s="4" t="s">
        <v>24</v>
      </c>
      <c r="L278">
        <v>2315</v>
      </c>
      <c r="M278">
        <v>2467.2800000000002</v>
      </c>
      <c r="N278" t="s">
        <v>46</v>
      </c>
      <c r="O278" s="30">
        <v>0.15</v>
      </c>
      <c r="P278" t="s">
        <v>40</v>
      </c>
      <c r="Q278" t="s">
        <v>27</v>
      </c>
      <c r="R278" t="s">
        <v>28</v>
      </c>
      <c r="S278">
        <f t="shared" si="21"/>
        <v>102762.21200000001</v>
      </c>
      <c r="T278">
        <f t="shared" si="22"/>
        <v>113435</v>
      </c>
      <c r="U278">
        <f t="shared" si="23"/>
        <v>-10672.787999999986</v>
      </c>
      <c r="V278" t="str">
        <f t="shared" si="24"/>
        <v>Senior</v>
      </c>
    </row>
    <row r="279" spans="1:22" x14ac:dyDescent="0.35">
      <c r="A279" t="s">
        <v>472</v>
      </c>
      <c r="B279">
        <v>1057</v>
      </c>
      <c r="C279" s="1">
        <v>45287</v>
      </c>
      <c r="D279" s="1" t="str">
        <f t="shared" si="20"/>
        <v>Dec</v>
      </c>
      <c r="E279" t="s">
        <v>473</v>
      </c>
      <c r="F279">
        <v>32</v>
      </c>
      <c r="G279" t="s">
        <v>65</v>
      </c>
      <c r="H279" t="s">
        <v>38</v>
      </c>
      <c r="I279" t="s">
        <v>33</v>
      </c>
      <c r="J279">
        <v>31</v>
      </c>
      <c r="K279" s="4" t="s">
        <v>24</v>
      </c>
      <c r="L279">
        <v>2403.16</v>
      </c>
      <c r="M279">
        <v>2453.35</v>
      </c>
      <c r="N279" t="s">
        <v>25</v>
      </c>
      <c r="O279" s="30">
        <v>0.19</v>
      </c>
      <c r="P279" t="s">
        <v>47</v>
      </c>
      <c r="Q279" t="s">
        <v>34</v>
      </c>
      <c r="R279" t="s">
        <v>41</v>
      </c>
      <c r="S279">
        <f t="shared" si="21"/>
        <v>61603.618499999997</v>
      </c>
      <c r="T279">
        <f t="shared" si="22"/>
        <v>74497.959999999992</v>
      </c>
      <c r="U279">
        <f t="shared" si="23"/>
        <v>-12894.341499999995</v>
      </c>
      <c r="V279" t="str">
        <f t="shared" si="24"/>
        <v>Adult</v>
      </c>
    </row>
    <row r="280" spans="1:22" x14ac:dyDescent="0.35">
      <c r="A280" t="s">
        <v>474</v>
      </c>
      <c r="B280">
        <v>1089</v>
      </c>
      <c r="C280" s="1">
        <v>45103</v>
      </c>
      <c r="D280" s="1" t="str">
        <f t="shared" si="20"/>
        <v>Jun</v>
      </c>
      <c r="E280" t="s">
        <v>70</v>
      </c>
      <c r="F280">
        <v>64</v>
      </c>
      <c r="G280" t="s">
        <v>65</v>
      </c>
      <c r="H280" t="s">
        <v>38</v>
      </c>
      <c r="I280" t="s">
        <v>23</v>
      </c>
      <c r="J280">
        <v>35</v>
      </c>
      <c r="K280" s="4" t="s">
        <v>24</v>
      </c>
      <c r="L280">
        <v>3925.85</v>
      </c>
      <c r="M280">
        <v>4082.11</v>
      </c>
      <c r="N280" t="s">
        <v>46</v>
      </c>
      <c r="O280" s="30">
        <v>0.09</v>
      </c>
      <c r="P280" t="s">
        <v>26</v>
      </c>
      <c r="Q280" t="s">
        <v>27</v>
      </c>
      <c r="R280" t="s">
        <v>28</v>
      </c>
      <c r="S280">
        <f t="shared" si="21"/>
        <v>130015.2035</v>
      </c>
      <c r="T280">
        <f t="shared" si="22"/>
        <v>137404.75</v>
      </c>
      <c r="U280">
        <f t="shared" si="23"/>
        <v>-7389.5464999999967</v>
      </c>
      <c r="V280" t="str">
        <f t="shared" si="24"/>
        <v>Senior</v>
      </c>
    </row>
    <row r="281" spans="1:22" x14ac:dyDescent="0.35">
      <c r="A281" t="s">
        <v>475</v>
      </c>
      <c r="B281">
        <v>1050</v>
      </c>
      <c r="C281" s="1">
        <v>45074</v>
      </c>
      <c r="D281" s="1" t="str">
        <f t="shared" si="20"/>
        <v>May</v>
      </c>
      <c r="E281" t="s">
        <v>298</v>
      </c>
      <c r="F281">
        <v>46</v>
      </c>
      <c r="G281" t="s">
        <v>54</v>
      </c>
      <c r="H281" t="s">
        <v>38</v>
      </c>
      <c r="I281" t="s">
        <v>23</v>
      </c>
      <c r="J281">
        <v>6</v>
      </c>
      <c r="K281" s="4" t="s">
        <v>24</v>
      </c>
      <c r="L281">
        <v>3763.26</v>
      </c>
      <c r="M281">
        <v>4102.72</v>
      </c>
      <c r="N281" t="s">
        <v>46</v>
      </c>
      <c r="O281" s="30">
        <v>0.11</v>
      </c>
      <c r="P281" t="s">
        <v>47</v>
      </c>
      <c r="Q281" t="s">
        <v>27</v>
      </c>
      <c r="R281" t="s">
        <v>28</v>
      </c>
      <c r="S281">
        <f t="shared" si="21"/>
        <v>21908.524799999999</v>
      </c>
      <c r="T281">
        <f t="shared" si="22"/>
        <v>22579.56</v>
      </c>
      <c r="U281">
        <f t="shared" si="23"/>
        <v>-671.03520000000208</v>
      </c>
      <c r="V281" t="str">
        <f t="shared" si="24"/>
        <v>Senior</v>
      </c>
    </row>
    <row r="282" spans="1:22" x14ac:dyDescent="0.35">
      <c r="A282" t="s">
        <v>476</v>
      </c>
      <c r="B282">
        <v>1023</v>
      </c>
      <c r="C282" s="1">
        <v>45044</v>
      </c>
      <c r="D282" s="1" t="str">
        <f t="shared" si="20"/>
        <v>Apr</v>
      </c>
      <c r="E282" t="s">
        <v>135</v>
      </c>
      <c r="F282">
        <v>50</v>
      </c>
      <c r="G282" t="s">
        <v>31</v>
      </c>
      <c r="H282" t="s">
        <v>54</v>
      </c>
      <c r="I282" t="s">
        <v>23</v>
      </c>
      <c r="J282">
        <v>5</v>
      </c>
      <c r="K282" s="4" t="s">
        <v>51</v>
      </c>
      <c r="L282">
        <v>2311.25</v>
      </c>
      <c r="M282">
        <v>2482.34</v>
      </c>
      <c r="N282" t="s">
        <v>25</v>
      </c>
      <c r="O282" s="30">
        <v>0.22</v>
      </c>
      <c r="P282" t="s">
        <v>47</v>
      </c>
      <c r="Q282" t="s">
        <v>34</v>
      </c>
      <c r="R282" t="s">
        <v>35</v>
      </c>
      <c r="S282">
        <f t="shared" si="21"/>
        <v>9681.1260000000002</v>
      </c>
      <c r="T282">
        <f t="shared" si="22"/>
        <v>11556.25</v>
      </c>
      <c r="U282">
        <f t="shared" si="23"/>
        <v>-1875.1239999999998</v>
      </c>
      <c r="V282" t="str">
        <f t="shared" si="24"/>
        <v>Senior</v>
      </c>
    </row>
    <row r="283" spans="1:22" x14ac:dyDescent="0.35">
      <c r="A283" t="s">
        <v>477</v>
      </c>
      <c r="B283">
        <v>1031</v>
      </c>
      <c r="C283" s="1">
        <v>45268</v>
      </c>
      <c r="D283" s="1" t="str">
        <f t="shared" si="20"/>
        <v>Dec</v>
      </c>
      <c r="E283" t="s">
        <v>272</v>
      </c>
      <c r="F283">
        <v>47</v>
      </c>
      <c r="G283" t="s">
        <v>21</v>
      </c>
      <c r="H283" t="s">
        <v>32</v>
      </c>
      <c r="I283" t="s">
        <v>44</v>
      </c>
      <c r="J283">
        <v>22</v>
      </c>
      <c r="K283" s="4" t="s">
        <v>39</v>
      </c>
      <c r="L283">
        <v>4236.05</v>
      </c>
      <c r="M283">
        <v>4382.32</v>
      </c>
      <c r="N283" t="s">
        <v>46</v>
      </c>
      <c r="O283" s="30">
        <v>0.03</v>
      </c>
      <c r="P283" t="s">
        <v>40</v>
      </c>
      <c r="Q283" t="s">
        <v>27</v>
      </c>
      <c r="R283" t="s">
        <v>28</v>
      </c>
      <c r="S283">
        <f t="shared" si="21"/>
        <v>93518.708799999993</v>
      </c>
      <c r="T283">
        <f t="shared" si="22"/>
        <v>93193.1</v>
      </c>
      <c r="U283">
        <f t="shared" si="23"/>
        <v>325.60879999998724</v>
      </c>
      <c r="V283" t="str">
        <f t="shared" si="24"/>
        <v>Senior</v>
      </c>
    </row>
    <row r="284" spans="1:22" x14ac:dyDescent="0.35">
      <c r="A284" t="s">
        <v>478</v>
      </c>
      <c r="B284">
        <v>1094</v>
      </c>
      <c r="C284" s="1">
        <v>44989</v>
      </c>
      <c r="D284" s="1" t="str">
        <f t="shared" si="20"/>
        <v>Mar</v>
      </c>
      <c r="E284" t="s">
        <v>312</v>
      </c>
      <c r="F284">
        <v>56</v>
      </c>
      <c r="G284" t="s">
        <v>21</v>
      </c>
      <c r="H284" t="s">
        <v>81</v>
      </c>
      <c r="I284" t="s">
        <v>50</v>
      </c>
      <c r="J284">
        <v>49</v>
      </c>
      <c r="K284" s="4" t="s">
        <v>39</v>
      </c>
      <c r="L284">
        <v>615.47</v>
      </c>
      <c r="M284">
        <v>715.84</v>
      </c>
      <c r="N284" t="s">
        <v>25</v>
      </c>
      <c r="O284" s="30">
        <v>0.21</v>
      </c>
      <c r="P284" t="s">
        <v>47</v>
      </c>
      <c r="Q284" t="s">
        <v>27</v>
      </c>
      <c r="R284" t="s">
        <v>35</v>
      </c>
      <c r="S284">
        <f t="shared" si="21"/>
        <v>27710.166400000006</v>
      </c>
      <c r="T284">
        <f t="shared" si="22"/>
        <v>30158.030000000002</v>
      </c>
      <c r="U284">
        <f t="shared" si="23"/>
        <v>-2447.8635999999969</v>
      </c>
      <c r="V284" t="str">
        <f t="shared" si="24"/>
        <v>Senior</v>
      </c>
    </row>
    <row r="285" spans="1:22" x14ac:dyDescent="0.35">
      <c r="A285" t="s">
        <v>479</v>
      </c>
      <c r="B285">
        <v>1042</v>
      </c>
      <c r="C285" s="1">
        <v>45115</v>
      </c>
      <c r="D285" s="1" t="str">
        <f t="shared" si="20"/>
        <v>Jul</v>
      </c>
      <c r="E285" t="s">
        <v>158</v>
      </c>
      <c r="F285">
        <v>44</v>
      </c>
      <c r="G285" t="s">
        <v>65</v>
      </c>
      <c r="H285" t="s">
        <v>22</v>
      </c>
      <c r="I285" t="s">
        <v>33</v>
      </c>
      <c r="J285">
        <v>23</v>
      </c>
      <c r="K285" s="4" t="s">
        <v>51</v>
      </c>
      <c r="L285">
        <v>1314</v>
      </c>
      <c r="M285">
        <v>1567.78</v>
      </c>
      <c r="N285" t="s">
        <v>25</v>
      </c>
      <c r="O285" s="30">
        <v>0.15</v>
      </c>
      <c r="P285" t="s">
        <v>47</v>
      </c>
      <c r="Q285" t="s">
        <v>34</v>
      </c>
      <c r="R285" t="s">
        <v>28</v>
      </c>
      <c r="S285">
        <f t="shared" si="21"/>
        <v>30650.099000000002</v>
      </c>
      <c r="T285">
        <f t="shared" si="22"/>
        <v>30222</v>
      </c>
      <c r="U285">
        <f t="shared" si="23"/>
        <v>428.09900000000198</v>
      </c>
      <c r="V285" t="str">
        <f t="shared" si="24"/>
        <v>Senior</v>
      </c>
    </row>
    <row r="286" spans="1:22" x14ac:dyDescent="0.35">
      <c r="A286" t="s">
        <v>480</v>
      </c>
      <c r="B286">
        <v>1099</v>
      </c>
      <c r="C286" s="1">
        <v>45286</v>
      </c>
      <c r="D286" s="1" t="str">
        <f t="shared" si="20"/>
        <v>Dec</v>
      </c>
      <c r="E286" t="s">
        <v>314</v>
      </c>
      <c r="F286">
        <v>53</v>
      </c>
      <c r="G286" t="s">
        <v>54</v>
      </c>
      <c r="H286" t="s">
        <v>81</v>
      </c>
      <c r="I286" t="s">
        <v>50</v>
      </c>
      <c r="J286">
        <v>25</v>
      </c>
      <c r="K286" s="4" t="s">
        <v>51</v>
      </c>
      <c r="L286">
        <v>4148.4799999999996</v>
      </c>
      <c r="M286">
        <v>4293.6899999999996</v>
      </c>
      <c r="N286" t="s">
        <v>46</v>
      </c>
      <c r="O286" s="30">
        <v>0.11</v>
      </c>
      <c r="P286" t="s">
        <v>40</v>
      </c>
      <c r="Q286" t="s">
        <v>27</v>
      </c>
      <c r="R286" t="s">
        <v>28</v>
      </c>
      <c r="S286">
        <f t="shared" si="21"/>
        <v>95534.602499999994</v>
      </c>
      <c r="T286">
        <f t="shared" si="22"/>
        <v>103711.99999999999</v>
      </c>
      <c r="U286">
        <f t="shared" si="23"/>
        <v>-8177.3974999999919</v>
      </c>
      <c r="V286" t="str">
        <f t="shared" si="24"/>
        <v>Senior</v>
      </c>
    </row>
    <row r="287" spans="1:22" x14ac:dyDescent="0.35">
      <c r="A287" t="s">
        <v>481</v>
      </c>
      <c r="B287">
        <v>1007</v>
      </c>
      <c r="C287" s="1">
        <v>44975</v>
      </c>
      <c r="D287" s="1" t="str">
        <f t="shared" si="20"/>
        <v>Feb</v>
      </c>
      <c r="E287" t="s">
        <v>127</v>
      </c>
      <c r="F287">
        <v>46</v>
      </c>
      <c r="G287" t="s">
        <v>21</v>
      </c>
      <c r="H287" t="s">
        <v>32</v>
      </c>
      <c r="I287" t="s">
        <v>50</v>
      </c>
      <c r="J287">
        <v>34</v>
      </c>
      <c r="K287" s="4" t="s">
        <v>45</v>
      </c>
      <c r="L287">
        <v>1921.07</v>
      </c>
      <c r="M287">
        <v>2289.27</v>
      </c>
      <c r="N287" t="s">
        <v>25</v>
      </c>
      <c r="O287" s="30">
        <v>7.0000000000000007E-2</v>
      </c>
      <c r="P287" t="s">
        <v>40</v>
      </c>
      <c r="Q287" t="s">
        <v>34</v>
      </c>
      <c r="R287" t="s">
        <v>35</v>
      </c>
      <c r="S287">
        <f t="shared" si="21"/>
        <v>72386.717399999994</v>
      </c>
      <c r="T287">
        <f t="shared" si="22"/>
        <v>65316.38</v>
      </c>
      <c r="U287">
        <f t="shared" si="23"/>
        <v>7070.3373999999967</v>
      </c>
      <c r="V287" t="str">
        <f t="shared" si="24"/>
        <v>Senior</v>
      </c>
    </row>
    <row r="288" spans="1:22" x14ac:dyDescent="0.35">
      <c r="A288" t="s">
        <v>482</v>
      </c>
      <c r="B288">
        <v>1016</v>
      </c>
      <c r="C288" s="1">
        <v>45253</v>
      </c>
      <c r="D288" s="1" t="str">
        <f t="shared" si="20"/>
        <v>Nov</v>
      </c>
      <c r="E288" t="s">
        <v>80</v>
      </c>
      <c r="F288">
        <v>55</v>
      </c>
      <c r="G288" t="s">
        <v>65</v>
      </c>
      <c r="H288" t="s">
        <v>22</v>
      </c>
      <c r="I288" t="s">
        <v>50</v>
      </c>
      <c r="J288">
        <v>26</v>
      </c>
      <c r="K288" s="4" t="s">
        <v>45</v>
      </c>
      <c r="L288">
        <v>4906.8500000000004</v>
      </c>
      <c r="M288">
        <v>6154.39</v>
      </c>
      <c r="N288" t="s">
        <v>46</v>
      </c>
      <c r="O288" s="30">
        <v>0.25</v>
      </c>
      <c r="P288" t="s">
        <v>40</v>
      </c>
      <c r="Q288" t="s">
        <v>34</v>
      </c>
      <c r="R288" t="s">
        <v>41</v>
      </c>
      <c r="S288">
        <f t="shared" si="21"/>
        <v>120010.60500000001</v>
      </c>
      <c r="T288">
        <f t="shared" si="22"/>
        <v>127578.1</v>
      </c>
      <c r="U288">
        <f t="shared" si="23"/>
        <v>-7567.4949999999953</v>
      </c>
      <c r="V288" t="str">
        <f t="shared" si="24"/>
        <v>Senior</v>
      </c>
    </row>
    <row r="289" spans="1:22" x14ac:dyDescent="0.35">
      <c r="A289" t="s">
        <v>483</v>
      </c>
      <c r="B289">
        <v>1090</v>
      </c>
      <c r="C289" s="1">
        <v>45183</v>
      </c>
      <c r="D289" s="1" t="str">
        <f t="shared" si="20"/>
        <v>Sep</v>
      </c>
      <c r="E289" t="s">
        <v>192</v>
      </c>
      <c r="F289">
        <v>50</v>
      </c>
      <c r="G289" t="s">
        <v>31</v>
      </c>
      <c r="H289" t="s">
        <v>32</v>
      </c>
      <c r="I289" t="s">
        <v>23</v>
      </c>
      <c r="J289">
        <v>47</v>
      </c>
      <c r="K289" s="4" t="s">
        <v>45</v>
      </c>
      <c r="L289">
        <v>2357.9499999999998</v>
      </c>
      <c r="M289">
        <v>2693.33</v>
      </c>
      <c r="N289" t="s">
        <v>46</v>
      </c>
      <c r="O289" s="30">
        <v>0.18</v>
      </c>
      <c r="P289" t="s">
        <v>40</v>
      </c>
      <c r="Q289" t="s">
        <v>34</v>
      </c>
      <c r="R289" t="s">
        <v>35</v>
      </c>
      <c r="S289">
        <f t="shared" si="21"/>
        <v>103800.9382</v>
      </c>
      <c r="T289">
        <f t="shared" si="22"/>
        <v>110823.65</v>
      </c>
      <c r="U289">
        <f t="shared" si="23"/>
        <v>-7022.71179999999</v>
      </c>
      <c r="V289" t="str">
        <f t="shared" si="24"/>
        <v>Senior</v>
      </c>
    </row>
    <row r="290" spans="1:22" x14ac:dyDescent="0.35">
      <c r="A290" t="s">
        <v>484</v>
      </c>
      <c r="B290">
        <v>1060</v>
      </c>
      <c r="C290" s="1">
        <v>45150</v>
      </c>
      <c r="D290" s="1" t="str">
        <f t="shared" si="20"/>
        <v>Aug</v>
      </c>
      <c r="E290" t="s">
        <v>368</v>
      </c>
      <c r="F290">
        <v>54</v>
      </c>
      <c r="G290" t="s">
        <v>21</v>
      </c>
      <c r="H290" t="s">
        <v>38</v>
      </c>
      <c r="I290" t="s">
        <v>33</v>
      </c>
      <c r="J290">
        <v>5</v>
      </c>
      <c r="K290" s="4" t="s">
        <v>24</v>
      </c>
      <c r="L290">
        <v>3970.08</v>
      </c>
      <c r="M290">
        <v>5096.4799999999996</v>
      </c>
      <c r="N290" t="s">
        <v>25</v>
      </c>
      <c r="O290" s="30">
        <v>0.13</v>
      </c>
      <c r="P290" t="s">
        <v>26</v>
      </c>
      <c r="Q290" t="s">
        <v>34</v>
      </c>
      <c r="R290" t="s">
        <v>35</v>
      </c>
      <c r="S290">
        <f t="shared" si="21"/>
        <v>22169.687999999998</v>
      </c>
      <c r="T290">
        <f t="shared" si="22"/>
        <v>19850.400000000001</v>
      </c>
      <c r="U290">
        <f t="shared" si="23"/>
        <v>2319.2879999999968</v>
      </c>
      <c r="V290" t="str">
        <f t="shared" si="24"/>
        <v>Senior</v>
      </c>
    </row>
    <row r="291" spans="1:22" x14ac:dyDescent="0.35">
      <c r="A291" t="s">
        <v>485</v>
      </c>
      <c r="B291">
        <v>1002</v>
      </c>
      <c r="C291" s="1">
        <v>45067</v>
      </c>
      <c r="D291" s="1" t="str">
        <f t="shared" si="20"/>
        <v>May</v>
      </c>
      <c r="E291" t="s">
        <v>282</v>
      </c>
      <c r="F291">
        <v>44</v>
      </c>
      <c r="G291" t="s">
        <v>65</v>
      </c>
      <c r="H291" t="s">
        <v>22</v>
      </c>
      <c r="I291" t="s">
        <v>33</v>
      </c>
      <c r="J291">
        <v>26</v>
      </c>
      <c r="K291" s="4" t="s">
        <v>45</v>
      </c>
      <c r="L291">
        <v>2041.42</v>
      </c>
      <c r="M291">
        <v>3291.17</v>
      </c>
      <c r="N291" t="s">
        <v>25</v>
      </c>
      <c r="O291" s="30">
        <v>0.28000000000000003</v>
      </c>
      <c r="P291" t="s">
        <v>26</v>
      </c>
      <c r="Q291" t="s">
        <v>27</v>
      </c>
      <c r="R291" t="s">
        <v>35</v>
      </c>
      <c r="S291">
        <f t="shared" si="21"/>
        <v>61610.702399999995</v>
      </c>
      <c r="T291">
        <f t="shared" si="22"/>
        <v>53076.92</v>
      </c>
      <c r="U291">
        <f t="shared" si="23"/>
        <v>8533.7823999999964</v>
      </c>
      <c r="V291" t="str">
        <f t="shared" si="24"/>
        <v>Senior</v>
      </c>
    </row>
    <row r="292" spans="1:22" x14ac:dyDescent="0.35">
      <c r="A292" t="s">
        <v>486</v>
      </c>
      <c r="B292">
        <v>1001</v>
      </c>
      <c r="C292" s="1">
        <v>45141</v>
      </c>
      <c r="D292" s="1" t="str">
        <f t="shared" si="20"/>
        <v>Aug</v>
      </c>
      <c r="E292" t="s">
        <v>205</v>
      </c>
      <c r="F292">
        <v>50</v>
      </c>
      <c r="G292" t="s">
        <v>65</v>
      </c>
      <c r="H292" t="s">
        <v>38</v>
      </c>
      <c r="I292" t="s">
        <v>50</v>
      </c>
      <c r="J292">
        <v>20</v>
      </c>
      <c r="K292" s="4" t="s">
        <v>39</v>
      </c>
      <c r="L292">
        <v>2153.52</v>
      </c>
      <c r="M292">
        <v>2303.6999999999998</v>
      </c>
      <c r="N292" t="s">
        <v>25</v>
      </c>
      <c r="O292" s="30">
        <v>0.01</v>
      </c>
      <c r="P292" t="s">
        <v>26</v>
      </c>
      <c r="Q292" t="s">
        <v>34</v>
      </c>
      <c r="R292" t="s">
        <v>41</v>
      </c>
      <c r="S292">
        <f t="shared" si="21"/>
        <v>45613.26</v>
      </c>
      <c r="T292">
        <f t="shared" si="22"/>
        <v>43070.400000000001</v>
      </c>
      <c r="U292">
        <f t="shared" si="23"/>
        <v>2542.8600000000006</v>
      </c>
      <c r="V292" t="str">
        <f t="shared" si="24"/>
        <v>Senior</v>
      </c>
    </row>
    <row r="293" spans="1:22" x14ac:dyDescent="0.35">
      <c r="A293" t="s">
        <v>487</v>
      </c>
      <c r="B293">
        <v>1048</v>
      </c>
      <c r="C293" s="1">
        <v>45137</v>
      </c>
      <c r="D293" s="1" t="str">
        <f t="shared" si="20"/>
        <v>Jul</v>
      </c>
      <c r="E293" t="s">
        <v>254</v>
      </c>
      <c r="F293">
        <v>21</v>
      </c>
      <c r="G293" t="s">
        <v>100</v>
      </c>
      <c r="H293" t="s">
        <v>81</v>
      </c>
      <c r="I293" t="s">
        <v>23</v>
      </c>
      <c r="J293">
        <v>6</v>
      </c>
      <c r="K293" s="4" t="s">
        <v>24</v>
      </c>
      <c r="L293">
        <v>1945.27</v>
      </c>
      <c r="M293">
        <v>2309.4299999999998</v>
      </c>
      <c r="N293" t="s">
        <v>46</v>
      </c>
      <c r="O293" s="30">
        <v>0.26</v>
      </c>
      <c r="P293" t="s">
        <v>47</v>
      </c>
      <c r="Q293" t="s">
        <v>34</v>
      </c>
      <c r="R293" t="s">
        <v>28</v>
      </c>
      <c r="S293">
        <f t="shared" si="21"/>
        <v>10253.869199999999</v>
      </c>
      <c r="T293">
        <f t="shared" si="22"/>
        <v>11671.619999999999</v>
      </c>
      <c r="U293">
        <f t="shared" si="23"/>
        <v>-1417.7507999999998</v>
      </c>
      <c r="V293" t="str">
        <f t="shared" si="24"/>
        <v>Young</v>
      </c>
    </row>
    <row r="294" spans="1:22" x14ac:dyDescent="0.35">
      <c r="A294" t="s">
        <v>488</v>
      </c>
      <c r="B294">
        <v>1012</v>
      </c>
      <c r="C294" s="1">
        <v>45244</v>
      </c>
      <c r="D294" s="1" t="str">
        <f t="shared" si="20"/>
        <v>Nov</v>
      </c>
      <c r="E294" t="s">
        <v>119</v>
      </c>
      <c r="F294">
        <v>39</v>
      </c>
      <c r="G294" t="s">
        <v>31</v>
      </c>
      <c r="H294" t="s">
        <v>81</v>
      </c>
      <c r="I294" t="s">
        <v>23</v>
      </c>
      <c r="J294">
        <v>6</v>
      </c>
      <c r="K294" s="4" t="s">
        <v>45</v>
      </c>
      <c r="L294">
        <v>3609.42</v>
      </c>
      <c r="M294">
        <v>4082.62</v>
      </c>
      <c r="N294" t="s">
        <v>25</v>
      </c>
      <c r="O294" s="30">
        <v>0.3</v>
      </c>
      <c r="P294" t="s">
        <v>40</v>
      </c>
      <c r="Q294" t="s">
        <v>27</v>
      </c>
      <c r="R294" t="s">
        <v>35</v>
      </c>
      <c r="S294">
        <f t="shared" si="21"/>
        <v>17147.004000000001</v>
      </c>
      <c r="T294">
        <f t="shared" si="22"/>
        <v>21656.52</v>
      </c>
      <c r="U294">
        <f t="shared" si="23"/>
        <v>-4509.5159999999996</v>
      </c>
      <c r="V294" t="str">
        <f t="shared" si="24"/>
        <v>Adult</v>
      </c>
    </row>
    <row r="295" spans="1:22" x14ac:dyDescent="0.35">
      <c r="A295" t="s">
        <v>489</v>
      </c>
      <c r="B295">
        <v>1069</v>
      </c>
      <c r="C295" s="1">
        <v>44958</v>
      </c>
      <c r="D295" s="1" t="str">
        <f t="shared" si="20"/>
        <v>Feb</v>
      </c>
      <c r="E295" t="s">
        <v>454</v>
      </c>
      <c r="F295">
        <v>19</v>
      </c>
      <c r="G295" t="s">
        <v>100</v>
      </c>
      <c r="H295" t="s">
        <v>22</v>
      </c>
      <c r="I295" t="s">
        <v>33</v>
      </c>
      <c r="J295">
        <v>18</v>
      </c>
      <c r="K295" s="4" t="s">
        <v>24</v>
      </c>
      <c r="L295">
        <v>2760.21</v>
      </c>
      <c r="M295">
        <v>3219.58</v>
      </c>
      <c r="N295" t="s">
        <v>46</v>
      </c>
      <c r="O295" s="30">
        <v>0.27</v>
      </c>
      <c r="P295" t="s">
        <v>40</v>
      </c>
      <c r="Q295" t="s">
        <v>34</v>
      </c>
      <c r="R295" t="s">
        <v>35</v>
      </c>
      <c r="S295">
        <f t="shared" si="21"/>
        <v>42305.281199999998</v>
      </c>
      <c r="T295">
        <f t="shared" si="22"/>
        <v>49683.78</v>
      </c>
      <c r="U295">
        <f t="shared" si="23"/>
        <v>-7378.4988000000012</v>
      </c>
      <c r="V295" t="str">
        <f t="shared" si="24"/>
        <v>Young</v>
      </c>
    </row>
    <row r="296" spans="1:22" x14ac:dyDescent="0.35">
      <c r="A296" t="s">
        <v>490</v>
      </c>
      <c r="B296">
        <v>1037</v>
      </c>
      <c r="C296" s="1">
        <v>45084</v>
      </c>
      <c r="D296" s="1" t="str">
        <f t="shared" si="20"/>
        <v>Jun</v>
      </c>
      <c r="E296" t="s">
        <v>473</v>
      </c>
      <c r="F296">
        <v>27</v>
      </c>
      <c r="G296" t="s">
        <v>54</v>
      </c>
      <c r="H296" t="s">
        <v>22</v>
      </c>
      <c r="I296" t="s">
        <v>23</v>
      </c>
      <c r="J296">
        <v>4</v>
      </c>
      <c r="K296" s="4" t="s">
        <v>39</v>
      </c>
      <c r="L296">
        <v>4721.7</v>
      </c>
      <c r="M296">
        <v>5017.58</v>
      </c>
      <c r="N296" t="s">
        <v>46</v>
      </c>
      <c r="O296" s="30">
        <v>0.24</v>
      </c>
      <c r="P296" t="s">
        <v>26</v>
      </c>
      <c r="Q296" t="s">
        <v>34</v>
      </c>
      <c r="R296" t="s">
        <v>41</v>
      </c>
      <c r="S296">
        <f t="shared" si="21"/>
        <v>15253.4432</v>
      </c>
      <c r="T296">
        <f t="shared" si="22"/>
        <v>18886.8</v>
      </c>
      <c r="U296">
        <f t="shared" si="23"/>
        <v>-3633.3567999999996</v>
      </c>
      <c r="V296" t="str">
        <f t="shared" si="24"/>
        <v>Adult</v>
      </c>
    </row>
    <row r="297" spans="1:22" x14ac:dyDescent="0.35">
      <c r="A297" t="s">
        <v>491</v>
      </c>
      <c r="B297">
        <v>1032</v>
      </c>
      <c r="C297" s="1">
        <v>45211</v>
      </c>
      <c r="D297" s="1" t="str">
        <f t="shared" si="20"/>
        <v>Oct</v>
      </c>
      <c r="E297" t="s">
        <v>158</v>
      </c>
      <c r="F297">
        <v>22</v>
      </c>
      <c r="G297" t="s">
        <v>100</v>
      </c>
      <c r="H297" t="s">
        <v>32</v>
      </c>
      <c r="I297" t="s">
        <v>23</v>
      </c>
      <c r="J297">
        <v>17</v>
      </c>
      <c r="K297" s="4" t="s">
        <v>45</v>
      </c>
      <c r="L297">
        <v>1291.9100000000001</v>
      </c>
      <c r="M297">
        <v>1528.59</v>
      </c>
      <c r="N297" t="s">
        <v>25</v>
      </c>
      <c r="O297" s="30">
        <v>0.11</v>
      </c>
      <c r="P297" t="s">
        <v>47</v>
      </c>
      <c r="Q297" t="s">
        <v>34</v>
      </c>
      <c r="R297" t="s">
        <v>35</v>
      </c>
      <c r="S297">
        <f t="shared" si="21"/>
        <v>23127.566699999999</v>
      </c>
      <c r="T297">
        <f t="shared" si="22"/>
        <v>21962.47</v>
      </c>
      <c r="U297">
        <f t="shared" si="23"/>
        <v>1165.0966999999982</v>
      </c>
      <c r="V297" t="str">
        <f t="shared" si="24"/>
        <v>Young</v>
      </c>
    </row>
    <row r="298" spans="1:22" x14ac:dyDescent="0.35">
      <c r="A298" t="s">
        <v>492</v>
      </c>
      <c r="B298">
        <v>1009</v>
      </c>
      <c r="C298" s="1">
        <v>45231</v>
      </c>
      <c r="D298" s="1" t="str">
        <f t="shared" si="20"/>
        <v>Nov</v>
      </c>
      <c r="E298" t="s">
        <v>493</v>
      </c>
      <c r="F298">
        <v>27</v>
      </c>
      <c r="G298" t="s">
        <v>100</v>
      </c>
      <c r="H298" t="s">
        <v>32</v>
      </c>
      <c r="I298" t="s">
        <v>23</v>
      </c>
      <c r="J298">
        <v>14</v>
      </c>
      <c r="K298" s="4" t="s">
        <v>39</v>
      </c>
      <c r="L298">
        <v>547.79</v>
      </c>
      <c r="M298">
        <v>958.76</v>
      </c>
      <c r="N298" t="s">
        <v>25</v>
      </c>
      <c r="O298" s="30">
        <v>7.0000000000000007E-2</v>
      </c>
      <c r="P298" t="s">
        <v>47</v>
      </c>
      <c r="Q298" t="s">
        <v>34</v>
      </c>
      <c r="R298" t="s">
        <v>28</v>
      </c>
      <c r="S298">
        <f t="shared" si="21"/>
        <v>12483.055199999999</v>
      </c>
      <c r="T298">
        <f t="shared" si="22"/>
        <v>7669.0599999999995</v>
      </c>
      <c r="U298">
        <f t="shared" si="23"/>
        <v>4813.9951999999994</v>
      </c>
      <c r="V298" t="str">
        <f t="shared" si="24"/>
        <v>Adult</v>
      </c>
    </row>
    <row r="299" spans="1:22" x14ac:dyDescent="0.35">
      <c r="A299" t="s">
        <v>494</v>
      </c>
      <c r="B299">
        <v>1099</v>
      </c>
      <c r="C299" s="1">
        <v>45212</v>
      </c>
      <c r="D299" s="1" t="str">
        <f t="shared" si="20"/>
        <v>Oct</v>
      </c>
      <c r="E299" t="s">
        <v>154</v>
      </c>
      <c r="F299">
        <v>50</v>
      </c>
      <c r="G299" t="s">
        <v>21</v>
      </c>
      <c r="H299" t="s">
        <v>38</v>
      </c>
      <c r="I299" t="s">
        <v>44</v>
      </c>
      <c r="J299">
        <v>14</v>
      </c>
      <c r="K299" s="4" t="s">
        <v>39</v>
      </c>
      <c r="L299">
        <v>1996.64</v>
      </c>
      <c r="M299">
        <v>2341.4699999999998</v>
      </c>
      <c r="N299" t="s">
        <v>25</v>
      </c>
      <c r="O299" s="30">
        <v>0.22</v>
      </c>
      <c r="P299" t="s">
        <v>47</v>
      </c>
      <c r="Q299" t="s">
        <v>27</v>
      </c>
      <c r="R299" t="s">
        <v>41</v>
      </c>
      <c r="S299">
        <f t="shared" si="21"/>
        <v>25568.852399999996</v>
      </c>
      <c r="T299">
        <f t="shared" si="22"/>
        <v>27952.960000000003</v>
      </c>
      <c r="U299">
        <f t="shared" si="23"/>
        <v>-2384.1076000000066</v>
      </c>
      <c r="V299" t="str">
        <f t="shared" si="24"/>
        <v>Senior</v>
      </c>
    </row>
    <row r="300" spans="1:22" x14ac:dyDescent="0.35">
      <c r="A300" t="s">
        <v>495</v>
      </c>
      <c r="B300">
        <v>1019</v>
      </c>
      <c r="C300" s="1">
        <v>45070</v>
      </c>
      <c r="D300" s="1" t="str">
        <f t="shared" si="20"/>
        <v>May</v>
      </c>
      <c r="E300" t="s">
        <v>91</v>
      </c>
      <c r="F300">
        <v>55</v>
      </c>
      <c r="G300" t="s">
        <v>65</v>
      </c>
      <c r="H300" t="s">
        <v>22</v>
      </c>
      <c r="I300" t="s">
        <v>50</v>
      </c>
      <c r="J300">
        <v>13</v>
      </c>
      <c r="K300" s="4" t="s">
        <v>39</v>
      </c>
      <c r="L300">
        <v>3102.73</v>
      </c>
      <c r="M300">
        <v>3202.68</v>
      </c>
      <c r="N300" t="s">
        <v>46</v>
      </c>
      <c r="O300" s="30">
        <v>0.09</v>
      </c>
      <c r="P300" t="s">
        <v>26</v>
      </c>
      <c r="Q300" t="s">
        <v>34</v>
      </c>
      <c r="R300" t="s">
        <v>28</v>
      </c>
      <c r="S300">
        <f t="shared" si="21"/>
        <v>37887.704399999995</v>
      </c>
      <c r="T300">
        <f t="shared" si="22"/>
        <v>40335.49</v>
      </c>
      <c r="U300">
        <f t="shared" si="23"/>
        <v>-2447.7856000000029</v>
      </c>
      <c r="V300" t="str">
        <f t="shared" si="24"/>
        <v>Senior</v>
      </c>
    </row>
    <row r="301" spans="1:22" x14ac:dyDescent="0.35">
      <c r="A301" t="s">
        <v>496</v>
      </c>
      <c r="B301">
        <v>1048</v>
      </c>
      <c r="C301" s="1">
        <v>44945</v>
      </c>
      <c r="D301" s="1" t="str">
        <f t="shared" si="20"/>
        <v>Jan</v>
      </c>
      <c r="E301" t="s">
        <v>497</v>
      </c>
      <c r="F301">
        <v>30</v>
      </c>
      <c r="G301" t="s">
        <v>31</v>
      </c>
      <c r="H301" t="s">
        <v>81</v>
      </c>
      <c r="I301" t="s">
        <v>33</v>
      </c>
      <c r="J301">
        <v>7</v>
      </c>
      <c r="K301" s="4" t="s">
        <v>45</v>
      </c>
      <c r="L301">
        <v>4310.95</v>
      </c>
      <c r="M301">
        <v>4723.2</v>
      </c>
      <c r="N301" t="s">
        <v>25</v>
      </c>
      <c r="O301" s="30">
        <v>0.05</v>
      </c>
      <c r="P301" t="s">
        <v>47</v>
      </c>
      <c r="Q301" t="s">
        <v>27</v>
      </c>
      <c r="R301" t="s">
        <v>28</v>
      </c>
      <c r="S301">
        <f t="shared" si="21"/>
        <v>31409.279999999999</v>
      </c>
      <c r="T301">
        <f t="shared" si="22"/>
        <v>30176.649999999998</v>
      </c>
      <c r="U301">
        <f t="shared" si="23"/>
        <v>1232.630000000001</v>
      </c>
      <c r="V301" t="str">
        <f t="shared" si="24"/>
        <v>Adult</v>
      </c>
    </row>
    <row r="304" spans="1:22" x14ac:dyDescent="0.35">
      <c r="D304" t="s">
        <v>509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3AEB4-DD98-48C8-A8DC-E5EC5B6323ED}">
  <sheetPr>
    <tabColor theme="7" tint="0.79998168889431442"/>
  </sheetPr>
  <dimension ref="A1:Q301"/>
  <sheetViews>
    <sheetView workbookViewId="0">
      <selection activeCell="D14" sqref="D14"/>
    </sheetView>
  </sheetViews>
  <sheetFormatPr defaultRowHeight="14.5" x14ac:dyDescent="0.35"/>
  <cols>
    <col min="11" max="11" width="8.90625" bestFit="1" customWidth="1"/>
    <col min="12" max="12" width="9.26953125" bestFit="1" customWidth="1"/>
    <col min="14" max="14" width="8.08984375" style="30" bestFit="1" customWidth="1"/>
  </cols>
  <sheetData>
    <row r="1" spans="1:17" x14ac:dyDescent="0.35">
      <c r="A1" t="s">
        <v>0</v>
      </c>
      <c r="B1" t="s">
        <v>1</v>
      </c>
      <c r="C1" t="s">
        <v>2</v>
      </c>
      <c r="D1" t="s">
        <v>3</v>
      </c>
      <c r="E1" t="s">
        <v>4</v>
      </c>
      <c r="F1" t="s">
        <v>5</v>
      </c>
      <c r="G1" t="s">
        <v>6</v>
      </c>
      <c r="H1" t="s">
        <v>7</v>
      </c>
      <c r="I1" t="s">
        <v>8</v>
      </c>
      <c r="J1" t="s">
        <v>9</v>
      </c>
      <c r="K1" t="s">
        <v>10</v>
      </c>
      <c r="L1" t="s">
        <v>11</v>
      </c>
      <c r="M1" t="s">
        <v>12</v>
      </c>
      <c r="N1" s="31" t="s">
        <v>13</v>
      </c>
      <c r="O1" t="s">
        <v>14</v>
      </c>
      <c r="P1" t="s">
        <v>15</v>
      </c>
      <c r="Q1" t="s">
        <v>16</v>
      </c>
    </row>
    <row r="2" spans="1:17" x14ac:dyDescent="0.35">
      <c r="A2" t="s">
        <v>19</v>
      </c>
      <c r="B2">
        <v>1052</v>
      </c>
      <c r="C2" s="1">
        <v>44960</v>
      </c>
      <c r="D2" t="s">
        <v>20</v>
      </c>
      <c r="E2">
        <v>55</v>
      </c>
      <c r="F2" t="s">
        <v>21</v>
      </c>
      <c r="G2" t="s">
        <v>22</v>
      </c>
      <c r="H2" t="s">
        <v>23</v>
      </c>
      <c r="I2">
        <v>18</v>
      </c>
      <c r="J2" t="s">
        <v>24</v>
      </c>
      <c r="K2">
        <v>152.75</v>
      </c>
      <c r="L2">
        <v>267.22000000000003</v>
      </c>
      <c r="M2" t="s">
        <v>25</v>
      </c>
      <c r="N2" s="30">
        <v>0.09</v>
      </c>
      <c r="O2" t="s">
        <v>26</v>
      </c>
      <c r="P2" t="s">
        <v>27</v>
      </c>
      <c r="Q2" t="s">
        <v>28</v>
      </c>
    </row>
    <row r="3" spans="1:17" x14ac:dyDescent="0.35">
      <c r="A3" t="s">
        <v>29</v>
      </c>
      <c r="B3">
        <v>1093</v>
      </c>
      <c r="C3" s="1">
        <v>45037</v>
      </c>
      <c r="D3" t="s">
        <v>30</v>
      </c>
      <c r="E3">
        <v>50</v>
      </c>
      <c r="F3" t="s">
        <v>31</v>
      </c>
      <c r="G3" t="s">
        <v>32</v>
      </c>
      <c r="H3" t="s">
        <v>33</v>
      </c>
      <c r="I3">
        <v>17</v>
      </c>
      <c r="J3" t="s">
        <v>24</v>
      </c>
      <c r="K3">
        <v>3816.39</v>
      </c>
      <c r="L3">
        <v>4209.4399999999996</v>
      </c>
      <c r="M3" t="s">
        <v>25</v>
      </c>
      <c r="N3" s="30">
        <v>0.1</v>
      </c>
      <c r="O3" t="s">
        <v>26</v>
      </c>
      <c r="P3" t="s">
        <v>34</v>
      </c>
      <c r="Q3" t="s">
        <v>35</v>
      </c>
    </row>
    <row r="4" spans="1:17" x14ac:dyDescent="0.35">
      <c r="A4" t="s">
        <v>36</v>
      </c>
      <c r="B4">
        <v>1015</v>
      </c>
      <c r="C4" s="1">
        <v>45190</v>
      </c>
      <c r="D4" t="s">
        <v>37</v>
      </c>
      <c r="E4">
        <v>41</v>
      </c>
      <c r="F4" t="s">
        <v>21</v>
      </c>
      <c r="G4" t="s">
        <v>38</v>
      </c>
      <c r="H4" t="s">
        <v>23</v>
      </c>
      <c r="I4">
        <v>30</v>
      </c>
      <c r="J4" t="s">
        <v>39</v>
      </c>
      <c r="K4">
        <v>261.56</v>
      </c>
      <c r="L4">
        <v>371.4</v>
      </c>
      <c r="M4" t="s">
        <v>25</v>
      </c>
      <c r="N4" s="30">
        <v>0.2</v>
      </c>
      <c r="O4" t="s">
        <v>40</v>
      </c>
      <c r="P4" t="s">
        <v>34</v>
      </c>
      <c r="Q4" t="s">
        <v>41</v>
      </c>
    </row>
    <row r="5" spans="1:17" x14ac:dyDescent="0.35">
      <c r="A5" t="s">
        <v>42</v>
      </c>
      <c r="B5">
        <v>1072</v>
      </c>
      <c r="C5" s="1">
        <v>45162</v>
      </c>
      <c r="D5" t="s">
        <v>43</v>
      </c>
      <c r="E5">
        <v>32</v>
      </c>
      <c r="F5" t="s">
        <v>31</v>
      </c>
      <c r="G5" t="s">
        <v>32</v>
      </c>
      <c r="H5" t="s">
        <v>44</v>
      </c>
      <c r="I5">
        <v>39</v>
      </c>
      <c r="J5" t="s">
        <v>45</v>
      </c>
      <c r="K5">
        <v>4330.03</v>
      </c>
      <c r="L5">
        <v>4467.75</v>
      </c>
      <c r="M5" t="s">
        <v>46</v>
      </c>
      <c r="N5" s="30">
        <v>0.02</v>
      </c>
      <c r="O5" t="s">
        <v>47</v>
      </c>
      <c r="P5" t="s">
        <v>34</v>
      </c>
      <c r="Q5" t="s">
        <v>28</v>
      </c>
    </row>
    <row r="6" spans="1:17" x14ac:dyDescent="0.35">
      <c r="A6" t="s">
        <v>48</v>
      </c>
      <c r="B6">
        <v>1061</v>
      </c>
      <c r="C6" s="1">
        <v>45009</v>
      </c>
      <c r="D6" t="s">
        <v>49</v>
      </c>
      <c r="E6">
        <v>47</v>
      </c>
      <c r="F6" t="s">
        <v>31</v>
      </c>
      <c r="G6" t="s">
        <v>32</v>
      </c>
      <c r="H6" t="s">
        <v>50</v>
      </c>
      <c r="I6">
        <v>13</v>
      </c>
      <c r="J6" t="s">
        <v>51</v>
      </c>
      <c r="K6">
        <v>637.37</v>
      </c>
      <c r="L6">
        <v>692.71</v>
      </c>
      <c r="M6" t="s">
        <v>46</v>
      </c>
      <c r="N6" s="30">
        <v>0.08</v>
      </c>
      <c r="O6" t="s">
        <v>47</v>
      </c>
      <c r="P6" t="s">
        <v>34</v>
      </c>
      <c r="Q6" t="s">
        <v>41</v>
      </c>
    </row>
    <row r="7" spans="1:17" x14ac:dyDescent="0.35">
      <c r="A7" t="s">
        <v>52</v>
      </c>
      <c r="B7">
        <v>1021</v>
      </c>
      <c r="C7" s="1">
        <v>44968</v>
      </c>
      <c r="D7" t="s">
        <v>53</v>
      </c>
      <c r="E7">
        <v>59</v>
      </c>
      <c r="F7" t="s">
        <v>31</v>
      </c>
      <c r="G7" t="s">
        <v>54</v>
      </c>
      <c r="H7" t="s">
        <v>44</v>
      </c>
      <c r="I7">
        <v>32</v>
      </c>
      <c r="J7" t="s">
        <v>39</v>
      </c>
      <c r="K7">
        <v>900.79</v>
      </c>
      <c r="L7">
        <v>1106.51</v>
      </c>
      <c r="M7" t="s">
        <v>46</v>
      </c>
      <c r="N7" s="30">
        <v>0.21</v>
      </c>
      <c r="O7" t="s">
        <v>26</v>
      </c>
      <c r="P7" t="s">
        <v>34</v>
      </c>
      <c r="Q7" t="s">
        <v>41</v>
      </c>
    </row>
    <row r="8" spans="1:17" x14ac:dyDescent="0.35">
      <c r="A8" t="s">
        <v>55</v>
      </c>
      <c r="B8">
        <v>1083</v>
      </c>
      <c r="C8" s="1">
        <v>45027</v>
      </c>
      <c r="D8" t="s">
        <v>56</v>
      </c>
      <c r="E8">
        <v>34</v>
      </c>
      <c r="F8" t="s">
        <v>21</v>
      </c>
      <c r="G8" t="s">
        <v>38</v>
      </c>
      <c r="H8" t="s">
        <v>50</v>
      </c>
      <c r="I8">
        <v>29</v>
      </c>
      <c r="J8" t="s">
        <v>24</v>
      </c>
      <c r="K8">
        <v>2408.81</v>
      </c>
      <c r="L8">
        <v>2824.09</v>
      </c>
      <c r="M8" t="s">
        <v>25</v>
      </c>
      <c r="N8" s="30">
        <v>0.04</v>
      </c>
      <c r="O8" t="s">
        <v>26</v>
      </c>
      <c r="P8" t="s">
        <v>27</v>
      </c>
      <c r="Q8" t="s">
        <v>35</v>
      </c>
    </row>
    <row r="9" spans="1:17" x14ac:dyDescent="0.35">
      <c r="A9" t="s">
        <v>57</v>
      </c>
      <c r="B9">
        <v>1087</v>
      </c>
      <c r="C9" s="1">
        <v>44932</v>
      </c>
      <c r="D9" t="s">
        <v>58</v>
      </c>
      <c r="E9">
        <v>22</v>
      </c>
      <c r="F9" t="s">
        <v>21</v>
      </c>
      <c r="G9" t="s">
        <v>38</v>
      </c>
      <c r="H9" t="s">
        <v>23</v>
      </c>
      <c r="I9">
        <v>46</v>
      </c>
      <c r="J9" t="s">
        <v>24</v>
      </c>
      <c r="K9">
        <v>3702.51</v>
      </c>
      <c r="L9">
        <v>3964.65</v>
      </c>
      <c r="M9" t="s">
        <v>46</v>
      </c>
      <c r="N9" s="30">
        <v>0.12</v>
      </c>
      <c r="O9" t="s">
        <v>40</v>
      </c>
      <c r="P9" t="s">
        <v>27</v>
      </c>
      <c r="Q9" t="s">
        <v>41</v>
      </c>
    </row>
    <row r="10" spans="1:17" x14ac:dyDescent="0.35">
      <c r="A10" t="s">
        <v>59</v>
      </c>
      <c r="B10">
        <v>1075</v>
      </c>
      <c r="C10" s="1">
        <v>45106</v>
      </c>
      <c r="D10" t="s">
        <v>60</v>
      </c>
      <c r="E10">
        <v>46</v>
      </c>
      <c r="F10" t="s">
        <v>31</v>
      </c>
      <c r="G10" t="s">
        <v>38</v>
      </c>
      <c r="H10" t="s">
        <v>44</v>
      </c>
      <c r="I10">
        <v>30</v>
      </c>
      <c r="J10" t="s">
        <v>24</v>
      </c>
      <c r="K10">
        <v>738.06</v>
      </c>
      <c r="L10">
        <v>1095.45</v>
      </c>
      <c r="M10" t="s">
        <v>46</v>
      </c>
      <c r="N10" s="30">
        <v>0.05</v>
      </c>
      <c r="O10" t="s">
        <v>40</v>
      </c>
      <c r="P10" t="s">
        <v>27</v>
      </c>
      <c r="Q10" t="s">
        <v>35</v>
      </c>
    </row>
    <row r="11" spans="1:17" x14ac:dyDescent="0.35">
      <c r="A11" t="s">
        <v>61</v>
      </c>
      <c r="B11">
        <v>1075</v>
      </c>
      <c r="C11" s="1">
        <v>45208</v>
      </c>
      <c r="D11" t="s">
        <v>62</v>
      </c>
      <c r="E11">
        <v>21</v>
      </c>
      <c r="F11" t="s">
        <v>54</v>
      </c>
      <c r="G11" t="s">
        <v>32</v>
      </c>
      <c r="H11" t="s">
        <v>23</v>
      </c>
      <c r="I11">
        <v>18</v>
      </c>
      <c r="J11" t="s">
        <v>45</v>
      </c>
      <c r="K11">
        <v>2228.35</v>
      </c>
      <c r="L11">
        <v>2682.34</v>
      </c>
      <c r="M11" t="s">
        <v>46</v>
      </c>
      <c r="N11" s="30">
        <v>0.13</v>
      </c>
      <c r="O11" t="s">
        <v>40</v>
      </c>
      <c r="P11" t="s">
        <v>27</v>
      </c>
      <c r="Q11" t="s">
        <v>28</v>
      </c>
    </row>
    <row r="12" spans="1:17" x14ac:dyDescent="0.35">
      <c r="A12" t="s">
        <v>63</v>
      </c>
      <c r="B12">
        <v>1088</v>
      </c>
      <c r="C12" s="1">
        <v>45246</v>
      </c>
      <c r="D12" t="s">
        <v>64</v>
      </c>
      <c r="E12">
        <v>27</v>
      </c>
      <c r="F12" t="s">
        <v>65</v>
      </c>
      <c r="G12" t="s">
        <v>22</v>
      </c>
      <c r="H12" t="s">
        <v>50</v>
      </c>
      <c r="I12">
        <v>13</v>
      </c>
      <c r="J12" t="s">
        <v>24</v>
      </c>
      <c r="K12">
        <v>2440.11</v>
      </c>
      <c r="L12">
        <v>2517.6</v>
      </c>
      <c r="M12" t="s">
        <v>46</v>
      </c>
      <c r="N12" s="30">
        <v>0.12</v>
      </c>
      <c r="O12" t="s">
        <v>40</v>
      </c>
      <c r="P12" t="s">
        <v>34</v>
      </c>
      <c r="Q12" t="s">
        <v>41</v>
      </c>
    </row>
    <row r="13" spans="1:17" x14ac:dyDescent="0.35">
      <c r="A13" t="s">
        <v>66</v>
      </c>
      <c r="B13">
        <v>1100</v>
      </c>
      <c r="C13" s="1">
        <v>45152</v>
      </c>
      <c r="D13" t="s">
        <v>67</v>
      </c>
      <c r="E13">
        <v>34</v>
      </c>
      <c r="F13" t="s">
        <v>65</v>
      </c>
      <c r="G13" t="s">
        <v>38</v>
      </c>
      <c r="H13" t="s">
        <v>33</v>
      </c>
      <c r="I13">
        <v>43</v>
      </c>
      <c r="J13" t="s">
        <v>39</v>
      </c>
      <c r="K13">
        <v>1100.81</v>
      </c>
      <c r="L13">
        <v>1137.44</v>
      </c>
      <c r="M13" t="s">
        <v>25</v>
      </c>
      <c r="N13" s="30">
        <v>0.08</v>
      </c>
      <c r="O13" t="s">
        <v>40</v>
      </c>
      <c r="P13" t="s">
        <v>34</v>
      </c>
      <c r="Q13" t="s">
        <v>28</v>
      </c>
    </row>
    <row r="14" spans="1:17" x14ac:dyDescent="0.35">
      <c r="A14" t="s">
        <v>68</v>
      </c>
      <c r="B14">
        <v>1024</v>
      </c>
      <c r="C14" s="1">
        <v>45241</v>
      </c>
      <c r="D14" t="s">
        <v>60</v>
      </c>
      <c r="E14">
        <v>27</v>
      </c>
      <c r="F14" t="s">
        <v>65</v>
      </c>
      <c r="G14" t="s">
        <v>32</v>
      </c>
      <c r="H14" t="s">
        <v>33</v>
      </c>
      <c r="I14">
        <v>21</v>
      </c>
      <c r="J14" t="s">
        <v>39</v>
      </c>
      <c r="K14">
        <v>622.01</v>
      </c>
      <c r="L14">
        <v>641.09</v>
      </c>
      <c r="M14" t="s">
        <v>25</v>
      </c>
      <c r="N14" s="30">
        <v>0</v>
      </c>
      <c r="O14" t="s">
        <v>40</v>
      </c>
      <c r="P14" t="s">
        <v>34</v>
      </c>
      <c r="Q14" t="s">
        <v>41</v>
      </c>
    </row>
    <row r="15" spans="1:17" x14ac:dyDescent="0.35">
      <c r="A15" t="s">
        <v>69</v>
      </c>
      <c r="B15">
        <v>1003</v>
      </c>
      <c r="C15" s="1">
        <v>45291</v>
      </c>
      <c r="D15" t="s">
        <v>70</v>
      </c>
      <c r="E15">
        <v>34</v>
      </c>
      <c r="F15" t="s">
        <v>21</v>
      </c>
      <c r="G15" t="s">
        <v>54</v>
      </c>
      <c r="H15" t="s">
        <v>44</v>
      </c>
      <c r="I15">
        <v>30</v>
      </c>
      <c r="J15" t="s">
        <v>24</v>
      </c>
      <c r="K15">
        <v>4190.28</v>
      </c>
      <c r="L15">
        <v>4270.6499999999996</v>
      </c>
      <c r="M15" t="s">
        <v>46</v>
      </c>
      <c r="N15" s="30">
        <v>0.06</v>
      </c>
      <c r="O15" t="s">
        <v>26</v>
      </c>
      <c r="P15" t="s">
        <v>34</v>
      </c>
      <c r="Q15" t="s">
        <v>28</v>
      </c>
    </row>
    <row r="16" spans="1:17" x14ac:dyDescent="0.35">
      <c r="A16" t="s">
        <v>71</v>
      </c>
      <c r="B16">
        <v>1022</v>
      </c>
      <c r="C16" s="1">
        <v>45155</v>
      </c>
      <c r="D16" t="s">
        <v>72</v>
      </c>
      <c r="E16">
        <v>37</v>
      </c>
      <c r="F16" t="s">
        <v>21</v>
      </c>
      <c r="G16" t="s">
        <v>22</v>
      </c>
      <c r="H16" t="s">
        <v>23</v>
      </c>
      <c r="I16">
        <v>21</v>
      </c>
      <c r="J16" t="s">
        <v>39</v>
      </c>
      <c r="K16">
        <v>2537.1999999999998</v>
      </c>
      <c r="L16">
        <v>2869.6</v>
      </c>
      <c r="M16" t="s">
        <v>46</v>
      </c>
      <c r="N16" s="30">
        <v>0.2</v>
      </c>
      <c r="O16" t="s">
        <v>40</v>
      </c>
      <c r="P16" t="s">
        <v>34</v>
      </c>
      <c r="Q16" t="s">
        <v>41</v>
      </c>
    </row>
    <row r="17" spans="1:17" x14ac:dyDescent="0.35">
      <c r="A17" t="s">
        <v>73</v>
      </c>
      <c r="B17">
        <v>1053</v>
      </c>
      <c r="C17" s="1">
        <v>45215</v>
      </c>
      <c r="D17" t="s">
        <v>74</v>
      </c>
      <c r="E17">
        <v>41</v>
      </c>
      <c r="F17" t="s">
        <v>54</v>
      </c>
      <c r="G17" t="s">
        <v>54</v>
      </c>
      <c r="H17" t="s">
        <v>23</v>
      </c>
      <c r="I17">
        <v>48</v>
      </c>
      <c r="J17" t="s">
        <v>24</v>
      </c>
      <c r="K17">
        <v>121.19</v>
      </c>
      <c r="L17">
        <v>487.65</v>
      </c>
      <c r="M17" t="s">
        <v>46</v>
      </c>
      <c r="N17" s="30">
        <v>0.18</v>
      </c>
      <c r="O17" t="s">
        <v>26</v>
      </c>
      <c r="P17" t="s">
        <v>27</v>
      </c>
      <c r="Q17" t="s">
        <v>41</v>
      </c>
    </row>
    <row r="18" spans="1:17" x14ac:dyDescent="0.35">
      <c r="A18" t="s">
        <v>75</v>
      </c>
      <c r="B18">
        <v>1002</v>
      </c>
      <c r="C18" s="1">
        <v>45076</v>
      </c>
      <c r="D18" t="s">
        <v>76</v>
      </c>
      <c r="E18">
        <v>22</v>
      </c>
      <c r="F18" t="s">
        <v>65</v>
      </c>
      <c r="G18" t="s">
        <v>22</v>
      </c>
      <c r="H18" t="s">
        <v>44</v>
      </c>
      <c r="I18">
        <v>17</v>
      </c>
      <c r="J18" t="s">
        <v>24</v>
      </c>
      <c r="K18">
        <v>4024.76</v>
      </c>
      <c r="L18">
        <v>4420.1499999999996</v>
      </c>
      <c r="M18" t="s">
        <v>25</v>
      </c>
      <c r="N18" s="30">
        <v>0.04</v>
      </c>
      <c r="O18" t="s">
        <v>26</v>
      </c>
      <c r="P18" t="s">
        <v>27</v>
      </c>
      <c r="Q18" t="s">
        <v>41</v>
      </c>
    </row>
    <row r="19" spans="1:17" x14ac:dyDescent="0.35">
      <c r="A19" t="s">
        <v>77</v>
      </c>
      <c r="B19">
        <v>1088</v>
      </c>
      <c r="C19" s="1">
        <v>45203</v>
      </c>
      <c r="D19" t="s">
        <v>78</v>
      </c>
      <c r="E19">
        <v>51</v>
      </c>
      <c r="F19" t="s">
        <v>65</v>
      </c>
      <c r="G19" t="s">
        <v>32</v>
      </c>
      <c r="H19" t="s">
        <v>33</v>
      </c>
      <c r="I19">
        <v>40</v>
      </c>
      <c r="J19" t="s">
        <v>51</v>
      </c>
      <c r="K19">
        <v>4904.93</v>
      </c>
      <c r="L19">
        <v>5034.3500000000004</v>
      </c>
      <c r="M19" t="s">
        <v>46</v>
      </c>
      <c r="N19" s="30">
        <v>0.05</v>
      </c>
      <c r="O19" t="s">
        <v>47</v>
      </c>
      <c r="P19" t="s">
        <v>34</v>
      </c>
      <c r="Q19" t="s">
        <v>41</v>
      </c>
    </row>
    <row r="20" spans="1:17" x14ac:dyDescent="0.35">
      <c r="A20" t="s">
        <v>79</v>
      </c>
      <c r="B20">
        <v>1030</v>
      </c>
      <c r="C20" s="1">
        <v>45124</v>
      </c>
      <c r="D20" t="s">
        <v>80</v>
      </c>
      <c r="E20">
        <v>23</v>
      </c>
      <c r="F20" t="s">
        <v>31</v>
      </c>
      <c r="G20" t="s">
        <v>81</v>
      </c>
      <c r="H20" t="s">
        <v>50</v>
      </c>
      <c r="I20">
        <v>19</v>
      </c>
      <c r="J20" t="s">
        <v>45</v>
      </c>
      <c r="K20">
        <v>3049.33</v>
      </c>
      <c r="L20">
        <v>3209.22</v>
      </c>
      <c r="M20" t="s">
        <v>25</v>
      </c>
      <c r="N20" s="30">
        <v>0.06</v>
      </c>
      <c r="O20" t="s">
        <v>26</v>
      </c>
      <c r="P20" t="s">
        <v>34</v>
      </c>
      <c r="Q20" t="s">
        <v>41</v>
      </c>
    </row>
    <row r="21" spans="1:17" x14ac:dyDescent="0.35">
      <c r="A21" t="s">
        <v>82</v>
      </c>
      <c r="B21">
        <v>1038</v>
      </c>
      <c r="C21" s="1">
        <v>44996</v>
      </c>
      <c r="D21" t="s">
        <v>83</v>
      </c>
      <c r="E21">
        <v>19</v>
      </c>
      <c r="F21" t="s">
        <v>21</v>
      </c>
      <c r="G21" t="s">
        <v>22</v>
      </c>
      <c r="H21" t="s">
        <v>44</v>
      </c>
      <c r="I21">
        <v>15</v>
      </c>
      <c r="J21" t="s">
        <v>45</v>
      </c>
      <c r="K21">
        <v>2543.36</v>
      </c>
      <c r="L21">
        <v>2790.1</v>
      </c>
      <c r="M21" t="s">
        <v>25</v>
      </c>
      <c r="N21" s="30">
        <v>7.0000000000000007E-2</v>
      </c>
      <c r="O21" t="s">
        <v>26</v>
      </c>
      <c r="P21" t="s">
        <v>34</v>
      </c>
      <c r="Q21" t="s">
        <v>41</v>
      </c>
    </row>
    <row r="22" spans="1:17" x14ac:dyDescent="0.35">
      <c r="A22" t="s">
        <v>84</v>
      </c>
      <c r="B22">
        <v>1002</v>
      </c>
      <c r="C22" s="1">
        <v>45038</v>
      </c>
      <c r="D22" t="s">
        <v>74</v>
      </c>
      <c r="E22">
        <v>30</v>
      </c>
      <c r="F22" t="s">
        <v>65</v>
      </c>
      <c r="G22" t="s">
        <v>54</v>
      </c>
      <c r="H22" t="s">
        <v>50</v>
      </c>
      <c r="I22">
        <v>9</v>
      </c>
      <c r="J22" t="s">
        <v>51</v>
      </c>
      <c r="K22">
        <v>4398.16</v>
      </c>
      <c r="L22">
        <v>4439.12</v>
      </c>
      <c r="M22" t="s">
        <v>46</v>
      </c>
      <c r="N22" s="30">
        <v>0.18</v>
      </c>
      <c r="O22" t="s">
        <v>40</v>
      </c>
      <c r="P22" t="s">
        <v>27</v>
      </c>
      <c r="Q22" t="s">
        <v>41</v>
      </c>
    </row>
    <row r="23" spans="1:17" x14ac:dyDescent="0.35">
      <c r="A23" t="s">
        <v>85</v>
      </c>
      <c r="B23">
        <v>1064</v>
      </c>
      <c r="C23" s="1">
        <v>44930</v>
      </c>
      <c r="D23" t="s">
        <v>86</v>
      </c>
      <c r="E23">
        <v>60</v>
      </c>
      <c r="F23" t="s">
        <v>54</v>
      </c>
      <c r="G23" t="s">
        <v>32</v>
      </c>
      <c r="H23" t="s">
        <v>33</v>
      </c>
      <c r="I23">
        <v>10</v>
      </c>
      <c r="J23" t="s">
        <v>51</v>
      </c>
      <c r="K23">
        <v>4764.96</v>
      </c>
      <c r="L23">
        <v>5074.42</v>
      </c>
      <c r="M23" t="s">
        <v>46</v>
      </c>
      <c r="N23" s="30">
        <v>0.12</v>
      </c>
      <c r="O23" t="s">
        <v>26</v>
      </c>
      <c r="P23" t="s">
        <v>34</v>
      </c>
      <c r="Q23" t="s">
        <v>41</v>
      </c>
    </row>
    <row r="24" spans="1:17" x14ac:dyDescent="0.35">
      <c r="A24" t="s">
        <v>87</v>
      </c>
      <c r="B24">
        <v>1060</v>
      </c>
      <c r="C24" s="1">
        <v>45276</v>
      </c>
      <c r="D24" t="s">
        <v>72</v>
      </c>
      <c r="E24">
        <v>60</v>
      </c>
      <c r="F24" t="s">
        <v>54</v>
      </c>
      <c r="G24" t="s">
        <v>22</v>
      </c>
      <c r="H24" t="s">
        <v>23</v>
      </c>
      <c r="I24">
        <v>44</v>
      </c>
      <c r="J24" t="s">
        <v>45</v>
      </c>
      <c r="K24">
        <v>3784.96</v>
      </c>
      <c r="L24">
        <v>4276.99</v>
      </c>
      <c r="M24" t="s">
        <v>46</v>
      </c>
      <c r="N24" s="30">
        <v>0.06</v>
      </c>
      <c r="O24" t="s">
        <v>40</v>
      </c>
      <c r="P24" t="s">
        <v>34</v>
      </c>
      <c r="Q24" t="s">
        <v>41</v>
      </c>
    </row>
    <row r="25" spans="1:17" x14ac:dyDescent="0.35">
      <c r="A25" t="s">
        <v>88</v>
      </c>
      <c r="B25">
        <v>1021</v>
      </c>
      <c r="C25" s="1">
        <v>45257</v>
      </c>
      <c r="D25" t="s">
        <v>89</v>
      </c>
      <c r="E25">
        <v>28</v>
      </c>
      <c r="F25" t="s">
        <v>65</v>
      </c>
      <c r="G25" t="s">
        <v>81</v>
      </c>
      <c r="H25" t="s">
        <v>33</v>
      </c>
      <c r="I25">
        <v>31</v>
      </c>
      <c r="J25" t="s">
        <v>24</v>
      </c>
      <c r="K25">
        <v>2254.9899999999998</v>
      </c>
      <c r="L25">
        <v>2741.79</v>
      </c>
      <c r="M25" t="s">
        <v>25</v>
      </c>
      <c r="N25" s="30">
        <v>0.24</v>
      </c>
      <c r="O25" t="s">
        <v>40</v>
      </c>
      <c r="P25" t="s">
        <v>34</v>
      </c>
      <c r="Q25" t="s">
        <v>28</v>
      </c>
    </row>
    <row r="26" spans="1:17" x14ac:dyDescent="0.35">
      <c r="A26" t="s">
        <v>90</v>
      </c>
      <c r="B26">
        <v>1033</v>
      </c>
      <c r="C26" s="1">
        <v>45244</v>
      </c>
      <c r="D26" t="s">
        <v>91</v>
      </c>
      <c r="E26">
        <v>64</v>
      </c>
      <c r="F26" t="s">
        <v>21</v>
      </c>
      <c r="G26" t="s">
        <v>81</v>
      </c>
      <c r="H26" t="s">
        <v>44</v>
      </c>
      <c r="I26">
        <v>23</v>
      </c>
      <c r="J26" t="s">
        <v>24</v>
      </c>
      <c r="K26">
        <v>2981.5</v>
      </c>
      <c r="L26">
        <v>4860.3999999999996</v>
      </c>
      <c r="M26" t="s">
        <v>25</v>
      </c>
      <c r="N26" s="30">
        <v>0.22</v>
      </c>
      <c r="O26" t="s">
        <v>40</v>
      </c>
      <c r="P26" t="s">
        <v>27</v>
      </c>
      <c r="Q26" t="s">
        <v>35</v>
      </c>
    </row>
    <row r="27" spans="1:17" x14ac:dyDescent="0.35">
      <c r="A27" t="s">
        <v>92</v>
      </c>
      <c r="B27">
        <v>1076</v>
      </c>
      <c r="C27" s="1">
        <v>45276</v>
      </c>
      <c r="D27" t="s">
        <v>93</v>
      </c>
      <c r="E27">
        <v>40</v>
      </c>
      <c r="F27" t="s">
        <v>54</v>
      </c>
      <c r="G27" t="s">
        <v>38</v>
      </c>
      <c r="H27" t="s">
        <v>23</v>
      </c>
      <c r="I27">
        <v>30</v>
      </c>
      <c r="J27" t="s">
        <v>45</v>
      </c>
      <c r="K27">
        <v>3519.63</v>
      </c>
      <c r="L27">
        <v>4774.6499999999996</v>
      </c>
      <c r="M27" t="s">
        <v>46</v>
      </c>
      <c r="N27" s="30">
        <v>0.2</v>
      </c>
      <c r="O27" t="s">
        <v>47</v>
      </c>
      <c r="P27" t="s">
        <v>34</v>
      </c>
      <c r="Q27" t="s">
        <v>41</v>
      </c>
    </row>
    <row r="28" spans="1:17" x14ac:dyDescent="0.35">
      <c r="A28" t="s">
        <v>94</v>
      </c>
      <c r="B28">
        <v>1058</v>
      </c>
      <c r="C28" s="1">
        <v>45021</v>
      </c>
      <c r="D28" t="s">
        <v>95</v>
      </c>
      <c r="E28">
        <v>33</v>
      </c>
      <c r="F28" t="s">
        <v>31</v>
      </c>
      <c r="G28" t="s">
        <v>38</v>
      </c>
      <c r="H28" t="s">
        <v>44</v>
      </c>
      <c r="I28">
        <v>33</v>
      </c>
      <c r="J28" t="s">
        <v>24</v>
      </c>
      <c r="K28">
        <v>1011.65</v>
      </c>
      <c r="L28">
        <v>1084.28</v>
      </c>
      <c r="M28" t="s">
        <v>25</v>
      </c>
      <c r="N28" s="30">
        <v>7.0000000000000007E-2</v>
      </c>
      <c r="O28" t="s">
        <v>40</v>
      </c>
      <c r="P28" t="s">
        <v>27</v>
      </c>
      <c r="Q28" t="s">
        <v>35</v>
      </c>
    </row>
    <row r="29" spans="1:17" x14ac:dyDescent="0.35">
      <c r="A29" t="s">
        <v>96</v>
      </c>
      <c r="B29">
        <v>1022</v>
      </c>
      <c r="C29" s="1">
        <v>45078</v>
      </c>
      <c r="D29" t="s">
        <v>97</v>
      </c>
      <c r="E29">
        <v>48</v>
      </c>
      <c r="F29" t="s">
        <v>54</v>
      </c>
      <c r="G29" t="s">
        <v>54</v>
      </c>
      <c r="H29" t="s">
        <v>44</v>
      </c>
      <c r="I29">
        <v>9</v>
      </c>
      <c r="J29" t="s">
        <v>51</v>
      </c>
      <c r="K29">
        <v>2263.65</v>
      </c>
      <c r="L29">
        <v>2558.9499999999998</v>
      </c>
      <c r="M29" t="s">
        <v>46</v>
      </c>
      <c r="N29" s="30">
        <v>0.03</v>
      </c>
      <c r="O29" t="s">
        <v>26</v>
      </c>
      <c r="P29" t="s">
        <v>27</v>
      </c>
      <c r="Q29" t="s">
        <v>41</v>
      </c>
    </row>
    <row r="30" spans="1:17" x14ac:dyDescent="0.35">
      <c r="A30" t="s">
        <v>98</v>
      </c>
      <c r="B30">
        <v>1089</v>
      </c>
      <c r="C30" s="1">
        <v>45237</v>
      </c>
      <c r="D30" t="s">
        <v>99</v>
      </c>
      <c r="E30">
        <v>28</v>
      </c>
      <c r="F30" t="s">
        <v>100</v>
      </c>
      <c r="G30" t="s">
        <v>22</v>
      </c>
      <c r="H30" t="s">
        <v>33</v>
      </c>
      <c r="I30">
        <v>47</v>
      </c>
      <c r="J30" t="s">
        <v>24</v>
      </c>
      <c r="K30">
        <v>4157.62</v>
      </c>
      <c r="L30">
        <v>5214.5600000000004</v>
      </c>
      <c r="M30" t="s">
        <v>46</v>
      </c>
      <c r="N30" s="30">
        <v>0.17</v>
      </c>
      <c r="O30" t="s">
        <v>40</v>
      </c>
      <c r="P30" t="s">
        <v>27</v>
      </c>
      <c r="Q30" t="s">
        <v>41</v>
      </c>
    </row>
    <row r="31" spans="1:17" x14ac:dyDescent="0.35">
      <c r="A31" t="s">
        <v>101</v>
      </c>
      <c r="B31">
        <v>1049</v>
      </c>
      <c r="C31" s="1">
        <v>45063</v>
      </c>
      <c r="D31" t="s">
        <v>102</v>
      </c>
      <c r="E31">
        <v>33</v>
      </c>
      <c r="F31" t="s">
        <v>100</v>
      </c>
      <c r="G31" t="s">
        <v>22</v>
      </c>
      <c r="H31" t="s">
        <v>44</v>
      </c>
      <c r="I31">
        <v>1</v>
      </c>
      <c r="J31" t="s">
        <v>24</v>
      </c>
      <c r="K31">
        <v>3290.89</v>
      </c>
      <c r="L31">
        <v>3317.75</v>
      </c>
      <c r="M31" t="s">
        <v>25</v>
      </c>
      <c r="N31" s="30">
        <v>0.17</v>
      </c>
      <c r="O31" t="s">
        <v>40</v>
      </c>
      <c r="P31" t="s">
        <v>27</v>
      </c>
      <c r="Q31" t="s">
        <v>28</v>
      </c>
    </row>
    <row r="32" spans="1:17" x14ac:dyDescent="0.35">
      <c r="A32" t="s">
        <v>103</v>
      </c>
      <c r="B32">
        <v>1091</v>
      </c>
      <c r="C32" s="1">
        <v>45173</v>
      </c>
      <c r="D32" t="s">
        <v>104</v>
      </c>
      <c r="E32">
        <v>25</v>
      </c>
      <c r="F32" t="s">
        <v>21</v>
      </c>
      <c r="G32" t="s">
        <v>38</v>
      </c>
      <c r="H32" t="s">
        <v>33</v>
      </c>
      <c r="I32">
        <v>44</v>
      </c>
      <c r="J32" t="s">
        <v>39</v>
      </c>
      <c r="K32">
        <v>2085.46</v>
      </c>
      <c r="L32">
        <v>2406.58</v>
      </c>
      <c r="M32" t="s">
        <v>25</v>
      </c>
      <c r="N32" s="30">
        <v>0.06</v>
      </c>
      <c r="O32" t="s">
        <v>40</v>
      </c>
      <c r="P32" t="s">
        <v>27</v>
      </c>
      <c r="Q32" t="s">
        <v>28</v>
      </c>
    </row>
    <row r="33" spans="1:17" x14ac:dyDescent="0.35">
      <c r="A33" t="s">
        <v>105</v>
      </c>
      <c r="B33">
        <v>1059</v>
      </c>
      <c r="C33" s="1">
        <v>45169</v>
      </c>
      <c r="D33" t="s">
        <v>106</v>
      </c>
      <c r="E33">
        <v>21</v>
      </c>
      <c r="F33" t="s">
        <v>65</v>
      </c>
      <c r="G33" t="s">
        <v>22</v>
      </c>
      <c r="H33" t="s">
        <v>23</v>
      </c>
      <c r="I33">
        <v>35</v>
      </c>
      <c r="J33" t="s">
        <v>39</v>
      </c>
      <c r="K33">
        <v>3333.64</v>
      </c>
      <c r="L33">
        <v>3764.52</v>
      </c>
      <c r="M33" t="s">
        <v>25</v>
      </c>
      <c r="N33" s="30">
        <v>0.02</v>
      </c>
      <c r="O33" t="s">
        <v>47</v>
      </c>
      <c r="P33" t="s">
        <v>27</v>
      </c>
      <c r="Q33" t="s">
        <v>35</v>
      </c>
    </row>
    <row r="34" spans="1:17" x14ac:dyDescent="0.35">
      <c r="A34" t="s">
        <v>107</v>
      </c>
      <c r="B34">
        <v>1042</v>
      </c>
      <c r="C34" s="1">
        <v>44957</v>
      </c>
      <c r="D34" t="s">
        <v>108</v>
      </c>
      <c r="E34">
        <v>57</v>
      </c>
      <c r="F34" t="s">
        <v>21</v>
      </c>
      <c r="G34" t="s">
        <v>22</v>
      </c>
      <c r="H34" t="s">
        <v>33</v>
      </c>
      <c r="I34">
        <v>11</v>
      </c>
      <c r="J34" t="s">
        <v>39</v>
      </c>
      <c r="K34">
        <v>635.20000000000005</v>
      </c>
      <c r="L34">
        <v>814.14</v>
      </c>
      <c r="M34" t="s">
        <v>25</v>
      </c>
      <c r="N34" s="30">
        <v>0.02</v>
      </c>
      <c r="O34" t="s">
        <v>26</v>
      </c>
      <c r="P34" t="s">
        <v>34</v>
      </c>
      <c r="Q34" t="s">
        <v>28</v>
      </c>
    </row>
    <row r="35" spans="1:17" x14ac:dyDescent="0.35">
      <c r="A35" t="s">
        <v>109</v>
      </c>
      <c r="B35">
        <v>1092</v>
      </c>
      <c r="C35" s="1">
        <v>44966</v>
      </c>
      <c r="D35" t="s">
        <v>110</v>
      </c>
      <c r="E35">
        <v>21</v>
      </c>
      <c r="F35" t="s">
        <v>21</v>
      </c>
      <c r="G35" t="s">
        <v>81</v>
      </c>
      <c r="H35" t="s">
        <v>23</v>
      </c>
      <c r="I35">
        <v>34</v>
      </c>
      <c r="J35" t="s">
        <v>24</v>
      </c>
      <c r="K35">
        <v>2037.41</v>
      </c>
      <c r="L35">
        <v>2238.65</v>
      </c>
      <c r="M35" t="s">
        <v>46</v>
      </c>
      <c r="N35" s="30">
        <v>0.3</v>
      </c>
      <c r="O35" t="s">
        <v>47</v>
      </c>
      <c r="P35" t="s">
        <v>34</v>
      </c>
      <c r="Q35" t="s">
        <v>28</v>
      </c>
    </row>
    <row r="36" spans="1:17" x14ac:dyDescent="0.35">
      <c r="A36" t="s">
        <v>111</v>
      </c>
      <c r="B36">
        <v>1060</v>
      </c>
      <c r="C36" s="1">
        <v>45155</v>
      </c>
      <c r="D36" t="s">
        <v>112</v>
      </c>
      <c r="E36">
        <v>42</v>
      </c>
      <c r="F36" t="s">
        <v>21</v>
      </c>
      <c r="G36" t="s">
        <v>38</v>
      </c>
      <c r="H36" t="s">
        <v>33</v>
      </c>
      <c r="I36">
        <v>16</v>
      </c>
      <c r="J36" t="s">
        <v>45</v>
      </c>
      <c r="K36">
        <v>3975.99</v>
      </c>
      <c r="L36">
        <v>4422.59</v>
      </c>
      <c r="M36" t="s">
        <v>46</v>
      </c>
      <c r="N36" s="30">
        <v>0.24</v>
      </c>
      <c r="O36" t="s">
        <v>26</v>
      </c>
      <c r="P36" t="s">
        <v>34</v>
      </c>
      <c r="Q36" t="s">
        <v>35</v>
      </c>
    </row>
    <row r="37" spans="1:17" x14ac:dyDescent="0.35">
      <c r="A37" t="s">
        <v>113</v>
      </c>
      <c r="B37">
        <v>1080</v>
      </c>
      <c r="C37" s="1">
        <v>44962</v>
      </c>
      <c r="D37" t="s">
        <v>43</v>
      </c>
      <c r="E37">
        <v>20</v>
      </c>
      <c r="F37" t="s">
        <v>21</v>
      </c>
      <c r="G37" t="s">
        <v>32</v>
      </c>
      <c r="H37" t="s">
        <v>50</v>
      </c>
      <c r="I37">
        <v>9</v>
      </c>
      <c r="J37" t="s">
        <v>51</v>
      </c>
      <c r="K37">
        <v>1141.52</v>
      </c>
      <c r="L37">
        <v>1550.19</v>
      </c>
      <c r="M37" t="s">
        <v>46</v>
      </c>
      <c r="N37" s="30">
        <v>0.28000000000000003</v>
      </c>
      <c r="O37" t="s">
        <v>47</v>
      </c>
      <c r="P37" t="s">
        <v>27</v>
      </c>
      <c r="Q37" t="s">
        <v>28</v>
      </c>
    </row>
    <row r="38" spans="1:17" x14ac:dyDescent="0.35">
      <c r="A38" t="s">
        <v>114</v>
      </c>
      <c r="B38">
        <v>1015</v>
      </c>
      <c r="C38" s="1">
        <v>45149</v>
      </c>
      <c r="D38" t="s">
        <v>115</v>
      </c>
      <c r="E38">
        <v>49</v>
      </c>
      <c r="F38" t="s">
        <v>31</v>
      </c>
      <c r="G38" t="s">
        <v>38</v>
      </c>
      <c r="H38" t="s">
        <v>50</v>
      </c>
      <c r="I38">
        <v>32</v>
      </c>
      <c r="J38" t="s">
        <v>24</v>
      </c>
      <c r="K38">
        <v>970.51</v>
      </c>
      <c r="L38">
        <v>1330.84</v>
      </c>
      <c r="M38" t="s">
        <v>25</v>
      </c>
      <c r="N38" s="30">
        <v>0.06</v>
      </c>
      <c r="O38" t="s">
        <v>26</v>
      </c>
      <c r="P38" t="s">
        <v>34</v>
      </c>
      <c r="Q38" t="s">
        <v>41</v>
      </c>
    </row>
    <row r="39" spans="1:17" x14ac:dyDescent="0.35">
      <c r="A39" t="s">
        <v>116</v>
      </c>
      <c r="B39">
        <v>1062</v>
      </c>
      <c r="C39" s="1">
        <v>44932</v>
      </c>
      <c r="D39" t="s">
        <v>117</v>
      </c>
      <c r="E39">
        <v>20</v>
      </c>
      <c r="F39" t="s">
        <v>31</v>
      </c>
      <c r="G39" t="s">
        <v>32</v>
      </c>
      <c r="H39" t="s">
        <v>44</v>
      </c>
      <c r="I39">
        <v>15</v>
      </c>
      <c r="J39" t="s">
        <v>45</v>
      </c>
      <c r="K39">
        <v>4756.55</v>
      </c>
      <c r="L39">
        <v>4888.46</v>
      </c>
      <c r="M39" t="s">
        <v>46</v>
      </c>
      <c r="N39" s="30">
        <v>0.28999999999999998</v>
      </c>
      <c r="O39" t="s">
        <v>47</v>
      </c>
      <c r="P39" t="s">
        <v>27</v>
      </c>
      <c r="Q39" t="s">
        <v>35</v>
      </c>
    </row>
    <row r="40" spans="1:17" x14ac:dyDescent="0.35">
      <c r="A40" t="s">
        <v>118</v>
      </c>
      <c r="B40">
        <v>1062</v>
      </c>
      <c r="C40" s="1">
        <v>45248</v>
      </c>
      <c r="D40" t="s">
        <v>119</v>
      </c>
      <c r="E40">
        <v>44</v>
      </c>
      <c r="F40" t="s">
        <v>54</v>
      </c>
      <c r="G40" t="s">
        <v>81</v>
      </c>
      <c r="H40" t="s">
        <v>33</v>
      </c>
      <c r="I40">
        <v>12</v>
      </c>
      <c r="J40" t="s">
        <v>24</v>
      </c>
      <c r="K40">
        <v>1088.99</v>
      </c>
      <c r="L40">
        <v>1545</v>
      </c>
      <c r="M40" t="s">
        <v>25</v>
      </c>
      <c r="N40" s="30">
        <v>0.04</v>
      </c>
      <c r="O40" t="s">
        <v>40</v>
      </c>
      <c r="P40" t="s">
        <v>27</v>
      </c>
      <c r="Q40" t="s">
        <v>35</v>
      </c>
    </row>
    <row r="41" spans="1:17" x14ac:dyDescent="0.35">
      <c r="A41" t="s">
        <v>120</v>
      </c>
      <c r="B41">
        <v>1047</v>
      </c>
      <c r="C41" s="1">
        <v>45146</v>
      </c>
      <c r="D41" t="s">
        <v>121</v>
      </c>
      <c r="E41">
        <v>46</v>
      </c>
      <c r="F41" t="s">
        <v>100</v>
      </c>
      <c r="G41" t="s">
        <v>54</v>
      </c>
      <c r="H41" t="s">
        <v>33</v>
      </c>
      <c r="I41">
        <v>33</v>
      </c>
      <c r="J41" t="s">
        <v>51</v>
      </c>
      <c r="K41">
        <v>1341.55</v>
      </c>
      <c r="L41">
        <v>1427.21</v>
      </c>
      <c r="M41" t="s">
        <v>25</v>
      </c>
      <c r="N41" s="30">
        <v>0.15</v>
      </c>
      <c r="O41" t="s">
        <v>47</v>
      </c>
      <c r="P41" t="s">
        <v>27</v>
      </c>
      <c r="Q41" t="s">
        <v>41</v>
      </c>
    </row>
    <row r="42" spans="1:17" x14ac:dyDescent="0.35">
      <c r="A42" t="s">
        <v>122</v>
      </c>
      <c r="B42">
        <v>1062</v>
      </c>
      <c r="C42" s="1">
        <v>45001</v>
      </c>
      <c r="D42" t="s">
        <v>123</v>
      </c>
      <c r="E42">
        <v>49</v>
      </c>
      <c r="F42" t="s">
        <v>21</v>
      </c>
      <c r="G42" t="s">
        <v>22</v>
      </c>
      <c r="H42" t="s">
        <v>23</v>
      </c>
      <c r="I42">
        <v>45</v>
      </c>
      <c r="J42" t="s">
        <v>24</v>
      </c>
      <c r="K42">
        <v>4849.6000000000004</v>
      </c>
      <c r="L42">
        <v>5166.72</v>
      </c>
      <c r="M42" t="s">
        <v>25</v>
      </c>
      <c r="N42" s="30">
        <v>0.15</v>
      </c>
      <c r="O42" t="s">
        <v>47</v>
      </c>
      <c r="P42" t="s">
        <v>34</v>
      </c>
      <c r="Q42" t="s">
        <v>28</v>
      </c>
    </row>
    <row r="43" spans="1:17" x14ac:dyDescent="0.35">
      <c r="A43" t="s">
        <v>124</v>
      </c>
      <c r="B43">
        <v>1051</v>
      </c>
      <c r="C43" s="1">
        <v>44930</v>
      </c>
      <c r="D43" t="s">
        <v>125</v>
      </c>
      <c r="E43">
        <v>36</v>
      </c>
      <c r="F43" t="s">
        <v>54</v>
      </c>
      <c r="G43" t="s">
        <v>81</v>
      </c>
      <c r="H43" t="s">
        <v>44</v>
      </c>
      <c r="I43">
        <v>14</v>
      </c>
      <c r="J43" t="s">
        <v>51</v>
      </c>
      <c r="K43">
        <v>3686.81</v>
      </c>
      <c r="L43">
        <v>3710.92</v>
      </c>
      <c r="M43" t="s">
        <v>46</v>
      </c>
      <c r="N43" s="30">
        <v>0</v>
      </c>
      <c r="O43" t="s">
        <v>40</v>
      </c>
      <c r="P43" t="s">
        <v>27</v>
      </c>
      <c r="Q43" t="s">
        <v>35</v>
      </c>
    </row>
    <row r="44" spans="1:17" x14ac:dyDescent="0.35">
      <c r="A44" t="s">
        <v>126</v>
      </c>
      <c r="B44">
        <v>1055</v>
      </c>
      <c r="C44" s="1">
        <v>45261</v>
      </c>
      <c r="D44" t="s">
        <v>127</v>
      </c>
      <c r="E44">
        <v>38</v>
      </c>
      <c r="F44" t="s">
        <v>100</v>
      </c>
      <c r="G44" t="s">
        <v>22</v>
      </c>
      <c r="H44" t="s">
        <v>33</v>
      </c>
      <c r="I44">
        <v>8</v>
      </c>
      <c r="J44" t="s">
        <v>24</v>
      </c>
      <c r="K44">
        <v>3513</v>
      </c>
      <c r="L44">
        <v>3838.42</v>
      </c>
      <c r="M44" t="s">
        <v>25</v>
      </c>
      <c r="N44" s="30">
        <v>0.13</v>
      </c>
      <c r="O44" t="s">
        <v>40</v>
      </c>
      <c r="P44" t="s">
        <v>27</v>
      </c>
      <c r="Q44" t="s">
        <v>35</v>
      </c>
    </row>
    <row r="45" spans="1:17" x14ac:dyDescent="0.35">
      <c r="A45" t="s">
        <v>128</v>
      </c>
      <c r="B45">
        <v>1064</v>
      </c>
      <c r="C45" s="1">
        <v>45060</v>
      </c>
      <c r="D45" t="s">
        <v>129</v>
      </c>
      <c r="E45">
        <v>22</v>
      </c>
      <c r="F45" t="s">
        <v>65</v>
      </c>
      <c r="G45" t="s">
        <v>54</v>
      </c>
      <c r="H45" t="s">
        <v>44</v>
      </c>
      <c r="I45">
        <v>8</v>
      </c>
      <c r="J45" t="s">
        <v>51</v>
      </c>
      <c r="K45">
        <v>4271.99</v>
      </c>
      <c r="L45">
        <v>4417.79</v>
      </c>
      <c r="M45" t="s">
        <v>25</v>
      </c>
      <c r="N45" s="30">
        <v>0.04</v>
      </c>
      <c r="O45" t="s">
        <v>26</v>
      </c>
      <c r="P45" t="s">
        <v>34</v>
      </c>
      <c r="Q45" t="s">
        <v>41</v>
      </c>
    </row>
    <row r="46" spans="1:17" x14ac:dyDescent="0.35">
      <c r="A46" t="s">
        <v>130</v>
      </c>
      <c r="B46">
        <v>1003</v>
      </c>
      <c r="C46" s="1">
        <v>45044</v>
      </c>
      <c r="D46" t="s">
        <v>131</v>
      </c>
      <c r="E46">
        <v>35</v>
      </c>
      <c r="F46" t="s">
        <v>31</v>
      </c>
      <c r="G46" t="s">
        <v>54</v>
      </c>
      <c r="H46" t="s">
        <v>50</v>
      </c>
      <c r="I46">
        <v>27</v>
      </c>
      <c r="J46" t="s">
        <v>24</v>
      </c>
      <c r="K46">
        <v>623.32000000000005</v>
      </c>
      <c r="L46">
        <v>853.66</v>
      </c>
      <c r="M46" t="s">
        <v>25</v>
      </c>
      <c r="N46" s="30">
        <v>0.04</v>
      </c>
      <c r="O46" t="s">
        <v>26</v>
      </c>
      <c r="P46" t="s">
        <v>34</v>
      </c>
      <c r="Q46" t="s">
        <v>41</v>
      </c>
    </row>
    <row r="47" spans="1:17" x14ac:dyDescent="0.35">
      <c r="A47" t="s">
        <v>132</v>
      </c>
      <c r="B47">
        <v>1051</v>
      </c>
      <c r="C47" s="1">
        <v>45020</v>
      </c>
      <c r="D47" t="s">
        <v>127</v>
      </c>
      <c r="E47">
        <v>45</v>
      </c>
      <c r="F47" t="s">
        <v>100</v>
      </c>
      <c r="G47" t="s">
        <v>81</v>
      </c>
      <c r="H47" t="s">
        <v>33</v>
      </c>
      <c r="I47">
        <v>12</v>
      </c>
      <c r="J47" t="s">
        <v>51</v>
      </c>
      <c r="K47">
        <v>3544.48</v>
      </c>
      <c r="L47">
        <v>3723.66</v>
      </c>
      <c r="M47" t="s">
        <v>25</v>
      </c>
      <c r="N47" s="30">
        <v>0.06</v>
      </c>
      <c r="O47" t="s">
        <v>26</v>
      </c>
      <c r="P47" t="s">
        <v>27</v>
      </c>
      <c r="Q47" t="s">
        <v>28</v>
      </c>
    </row>
    <row r="48" spans="1:17" x14ac:dyDescent="0.35">
      <c r="A48" t="s">
        <v>133</v>
      </c>
      <c r="B48">
        <v>1007</v>
      </c>
      <c r="C48" s="1">
        <v>44988</v>
      </c>
      <c r="D48" t="s">
        <v>123</v>
      </c>
      <c r="E48">
        <v>59</v>
      </c>
      <c r="F48" t="s">
        <v>65</v>
      </c>
      <c r="G48" t="s">
        <v>54</v>
      </c>
      <c r="H48" t="s">
        <v>33</v>
      </c>
      <c r="I48">
        <v>1</v>
      </c>
      <c r="J48" t="s">
        <v>39</v>
      </c>
      <c r="K48">
        <v>2543.2600000000002</v>
      </c>
      <c r="L48">
        <v>2637.91</v>
      </c>
      <c r="M48" t="s">
        <v>25</v>
      </c>
      <c r="N48" s="30">
        <v>0.2</v>
      </c>
      <c r="O48" t="s">
        <v>47</v>
      </c>
      <c r="P48" t="s">
        <v>27</v>
      </c>
      <c r="Q48" t="s">
        <v>35</v>
      </c>
    </row>
    <row r="49" spans="1:17" x14ac:dyDescent="0.35">
      <c r="A49" t="s">
        <v>134</v>
      </c>
      <c r="B49">
        <v>1021</v>
      </c>
      <c r="C49" s="1">
        <v>45120</v>
      </c>
      <c r="D49" t="s">
        <v>135</v>
      </c>
      <c r="E49">
        <v>39</v>
      </c>
      <c r="F49" t="s">
        <v>100</v>
      </c>
      <c r="G49" t="s">
        <v>32</v>
      </c>
      <c r="H49" t="s">
        <v>44</v>
      </c>
      <c r="I49">
        <v>43</v>
      </c>
      <c r="J49" t="s">
        <v>24</v>
      </c>
      <c r="K49">
        <v>4154.3</v>
      </c>
      <c r="L49">
        <v>4469.07</v>
      </c>
      <c r="M49" t="s">
        <v>25</v>
      </c>
      <c r="N49" s="30">
        <v>0.05</v>
      </c>
      <c r="O49" t="s">
        <v>26</v>
      </c>
      <c r="P49" t="s">
        <v>34</v>
      </c>
      <c r="Q49" t="s">
        <v>28</v>
      </c>
    </row>
    <row r="50" spans="1:17" x14ac:dyDescent="0.35">
      <c r="A50" t="s">
        <v>136</v>
      </c>
      <c r="B50">
        <v>1073</v>
      </c>
      <c r="C50" s="1">
        <v>45261</v>
      </c>
      <c r="D50" t="s">
        <v>137</v>
      </c>
      <c r="E50">
        <v>38</v>
      </c>
      <c r="F50" t="s">
        <v>31</v>
      </c>
      <c r="G50" t="s">
        <v>54</v>
      </c>
      <c r="H50" t="s">
        <v>33</v>
      </c>
      <c r="I50">
        <v>40</v>
      </c>
      <c r="J50" t="s">
        <v>24</v>
      </c>
      <c r="K50">
        <v>2565.3000000000002</v>
      </c>
      <c r="L50">
        <v>3007.47</v>
      </c>
      <c r="M50" t="s">
        <v>25</v>
      </c>
      <c r="N50" s="30">
        <v>0.17</v>
      </c>
      <c r="O50" t="s">
        <v>47</v>
      </c>
      <c r="P50" t="s">
        <v>34</v>
      </c>
      <c r="Q50" t="s">
        <v>28</v>
      </c>
    </row>
    <row r="51" spans="1:17" x14ac:dyDescent="0.35">
      <c r="A51" t="s">
        <v>138</v>
      </c>
      <c r="B51">
        <v>1039</v>
      </c>
      <c r="C51" s="1">
        <v>45129</v>
      </c>
      <c r="D51" t="s">
        <v>139</v>
      </c>
      <c r="E51">
        <v>23</v>
      </c>
      <c r="F51" t="s">
        <v>31</v>
      </c>
      <c r="G51" t="s">
        <v>22</v>
      </c>
      <c r="H51" t="s">
        <v>44</v>
      </c>
      <c r="I51">
        <v>42</v>
      </c>
      <c r="J51" t="s">
        <v>45</v>
      </c>
      <c r="K51">
        <v>3120.19</v>
      </c>
      <c r="L51">
        <v>3600.14</v>
      </c>
      <c r="M51" t="s">
        <v>25</v>
      </c>
      <c r="N51" s="30">
        <v>0.19</v>
      </c>
      <c r="O51" t="s">
        <v>47</v>
      </c>
      <c r="P51" t="s">
        <v>34</v>
      </c>
      <c r="Q51" t="s">
        <v>41</v>
      </c>
    </row>
    <row r="52" spans="1:17" x14ac:dyDescent="0.35">
      <c r="A52" t="s">
        <v>140</v>
      </c>
      <c r="B52">
        <v>1018</v>
      </c>
      <c r="C52" s="1">
        <v>44952</v>
      </c>
      <c r="D52" t="s">
        <v>141</v>
      </c>
      <c r="E52">
        <v>18</v>
      </c>
      <c r="F52" t="s">
        <v>54</v>
      </c>
      <c r="G52" t="s">
        <v>22</v>
      </c>
      <c r="H52" t="s">
        <v>33</v>
      </c>
      <c r="I52">
        <v>11</v>
      </c>
      <c r="J52" t="s">
        <v>45</v>
      </c>
      <c r="K52">
        <v>2414.8200000000002</v>
      </c>
      <c r="L52">
        <v>2519.0700000000002</v>
      </c>
      <c r="M52" t="s">
        <v>25</v>
      </c>
      <c r="N52" s="30">
        <v>0</v>
      </c>
      <c r="O52" t="s">
        <v>26</v>
      </c>
      <c r="P52" t="s">
        <v>27</v>
      </c>
      <c r="Q52" t="s">
        <v>35</v>
      </c>
    </row>
    <row r="53" spans="1:17" x14ac:dyDescent="0.35">
      <c r="A53" t="s">
        <v>142</v>
      </c>
      <c r="B53">
        <v>1004</v>
      </c>
      <c r="C53" s="1">
        <v>45099</v>
      </c>
      <c r="D53" t="s">
        <v>143</v>
      </c>
      <c r="E53">
        <v>22</v>
      </c>
      <c r="F53" t="s">
        <v>21</v>
      </c>
      <c r="G53" t="s">
        <v>22</v>
      </c>
      <c r="H53" t="s">
        <v>23</v>
      </c>
      <c r="I53">
        <v>39</v>
      </c>
      <c r="J53" t="s">
        <v>51</v>
      </c>
      <c r="K53">
        <v>2416.89</v>
      </c>
      <c r="L53">
        <v>2778.4</v>
      </c>
      <c r="M53" t="s">
        <v>25</v>
      </c>
      <c r="N53" s="30">
        <v>0.05</v>
      </c>
      <c r="O53" t="s">
        <v>26</v>
      </c>
      <c r="P53" t="s">
        <v>34</v>
      </c>
      <c r="Q53" t="s">
        <v>35</v>
      </c>
    </row>
    <row r="54" spans="1:17" x14ac:dyDescent="0.35">
      <c r="A54" t="s">
        <v>144</v>
      </c>
      <c r="B54">
        <v>1089</v>
      </c>
      <c r="C54" s="1">
        <v>45226</v>
      </c>
      <c r="D54" t="s">
        <v>145</v>
      </c>
      <c r="E54">
        <v>58</v>
      </c>
      <c r="F54" t="s">
        <v>100</v>
      </c>
      <c r="G54" t="s">
        <v>22</v>
      </c>
      <c r="H54" t="s">
        <v>44</v>
      </c>
      <c r="I54">
        <v>43</v>
      </c>
      <c r="J54" t="s">
        <v>24</v>
      </c>
      <c r="K54">
        <v>3851.45</v>
      </c>
      <c r="L54">
        <v>4186.9799999999996</v>
      </c>
      <c r="M54" t="s">
        <v>25</v>
      </c>
      <c r="N54" s="30">
        <v>0.1</v>
      </c>
      <c r="O54" t="s">
        <v>47</v>
      </c>
      <c r="P54" t="s">
        <v>34</v>
      </c>
      <c r="Q54" t="s">
        <v>35</v>
      </c>
    </row>
    <row r="55" spans="1:17" x14ac:dyDescent="0.35">
      <c r="A55" t="s">
        <v>146</v>
      </c>
      <c r="B55">
        <v>1060</v>
      </c>
      <c r="C55" s="1">
        <v>45059</v>
      </c>
      <c r="D55" t="s">
        <v>121</v>
      </c>
      <c r="E55">
        <v>29</v>
      </c>
      <c r="F55" t="s">
        <v>100</v>
      </c>
      <c r="G55" t="s">
        <v>32</v>
      </c>
      <c r="H55" t="s">
        <v>33</v>
      </c>
      <c r="I55">
        <v>31</v>
      </c>
      <c r="J55" t="s">
        <v>51</v>
      </c>
      <c r="K55">
        <v>3161.4</v>
      </c>
      <c r="L55">
        <v>3339.66</v>
      </c>
      <c r="M55" t="s">
        <v>25</v>
      </c>
      <c r="N55" s="30">
        <v>0.02</v>
      </c>
      <c r="O55" t="s">
        <v>40</v>
      </c>
      <c r="P55" t="s">
        <v>34</v>
      </c>
      <c r="Q55" t="s">
        <v>41</v>
      </c>
    </row>
    <row r="56" spans="1:17" x14ac:dyDescent="0.35">
      <c r="A56" t="s">
        <v>147</v>
      </c>
      <c r="B56">
        <v>1014</v>
      </c>
      <c r="C56" s="1">
        <v>45252</v>
      </c>
      <c r="D56" t="s">
        <v>148</v>
      </c>
      <c r="E56">
        <v>43</v>
      </c>
      <c r="F56" t="s">
        <v>65</v>
      </c>
      <c r="G56" t="s">
        <v>38</v>
      </c>
      <c r="H56" t="s">
        <v>50</v>
      </c>
      <c r="I56">
        <v>17</v>
      </c>
      <c r="J56" t="s">
        <v>39</v>
      </c>
      <c r="K56">
        <v>3184.65</v>
      </c>
      <c r="L56">
        <v>3204.01</v>
      </c>
      <c r="M56" t="s">
        <v>46</v>
      </c>
      <c r="N56" s="30">
        <v>0.06</v>
      </c>
      <c r="O56" t="s">
        <v>40</v>
      </c>
      <c r="P56" t="s">
        <v>27</v>
      </c>
      <c r="Q56" t="s">
        <v>41</v>
      </c>
    </row>
    <row r="57" spans="1:17" x14ac:dyDescent="0.35">
      <c r="A57" t="s">
        <v>149</v>
      </c>
      <c r="B57">
        <v>1009</v>
      </c>
      <c r="C57" s="1">
        <v>45044</v>
      </c>
      <c r="D57" t="s">
        <v>150</v>
      </c>
      <c r="E57">
        <v>63</v>
      </c>
      <c r="F57" t="s">
        <v>31</v>
      </c>
      <c r="G57" t="s">
        <v>81</v>
      </c>
      <c r="H57" t="s">
        <v>33</v>
      </c>
      <c r="I57">
        <v>33</v>
      </c>
      <c r="J57" t="s">
        <v>45</v>
      </c>
      <c r="K57">
        <v>2278.9</v>
      </c>
      <c r="L57">
        <v>2626.9</v>
      </c>
      <c r="M57" t="s">
        <v>46</v>
      </c>
      <c r="N57" s="30">
        <v>0.05</v>
      </c>
      <c r="O57" t="s">
        <v>47</v>
      </c>
      <c r="P57" t="s">
        <v>34</v>
      </c>
      <c r="Q57" t="s">
        <v>41</v>
      </c>
    </row>
    <row r="58" spans="1:17" x14ac:dyDescent="0.35">
      <c r="A58" t="s">
        <v>151</v>
      </c>
      <c r="B58">
        <v>1090</v>
      </c>
      <c r="C58" s="1">
        <v>45250</v>
      </c>
      <c r="D58" t="s">
        <v>152</v>
      </c>
      <c r="E58">
        <v>51</v>
      </c>
      <c r="F58" t="s">
        <v>100</v>
      </c>
      <c r="G58" t="s">
        <v>22</v>
      </c>
      <c r="H58" t="s">
        <v>50</v>
      </c>
      <c r="I58">
        <v>32</v>
      </c>
      <c r="J58" t="s">
        <v>51</v>
      </c>
      <c r="K58">
        <v>2678.99</v>
      </c>
      <c r="L58">
        <v>3152.28</v>
      </c>
      <c r="M58" t="s">
        <v>25</v>
      </c>
      <c r="N58" s="30">
        <v>0.22</v>
      </c>
      <c r="O58" t="s">
        <v>26</v>
      </c>
      <c r="P58" t="s">
        <v>34</v>
      </c>
      <c r="Q58" t="s">
        <v>41</v>
      </c>
    </row>
    <row r="59" spans="1:17" x14ac:dyDescent="0.35">
      <c r="A59" t="s">
        <v>153</v>
      </c>
      <c r="B59">
        <v>1053</v>
      </c>
      <c r="C59" s="1">
        <v>45201</v>
      </c>
      <c r="D59" t="s">
        <v>154</v>
      </c>
      <c r="E59">
        <v>31</v>
      </c>
      <c r="F59" t="s">
        <v>31</v>
      </c>
      <c r="G59" t="s">
        <v>54</v>
      </c>
      <c r="H59" t="s">
        <v>50</v>
      </c>
      <c r="I59">
        <v>29</v>
      </c>
      <c r="J59" t="s">
        <v>51</v>
      </c>
      <c r="K59">
        <v>3741.3</v>
      </c>
      <c r="L59">
        <v>4061.04</v>
      </c>
      <c r="M59" t="s">
        <v>25</v>
      </c>
      <c r="N59" s="30">
        <v>0.05</v>
      </c>
      <c r="O59" t="s">
        <v>47</v>
      </c>
      <c r="P59" t="s">
        <v>34</v>
      </c>
      <c r="Q59" t="s">
        <v>41</v>
      </c>
    </row>
    <row r="60" spans="1:17" x14ac:dyDescent="0.35">
      <c r="A60" t="s">
        <v>155</v>
      </c>
      <c r="B60">
        <v>1002</v>
      </c>
      <c r="C60" s="1">
        <v>45138</v>
      </c>
      <c r="D60" t="s">
        <v>156</v>
      </c>
      <c r="E60">
        <v>43</v>
      </c>
      <c r="F60" t="s">
        <v>100</v>
      </c>
      <c r="G60" t="s">
        <v>22</v>
      </c>
      <c r="H60" t="s">
        <v>23</v>
      </c>
      <c r="I60">
        <v>21</v>
      </c>
      <c r="J60" t="s">
        <v>45</v>
      </c>
      <c r="K60">
        <v>4138.41</v>
      </c>
      <c r="L60">
        <v>4361.7</v>
      </c>
      <c r="M60" t="s">
        <v>25</v>
      </c>
      <c r="N60" s="30">
        <v>7.0000000000000007E-2</v>
      </c>
      <c r="O60" t="s">
        <v>47</v>
      </c>
      <c r="P60" t="s">
        <v>34</v>
      </c>
      <c r="Q60" t="s">
        <v>35</v>
      </c>
    </row>
    <row r="61" spans="1:17" x14ac:dyDescent="0.35">
      <c r="A61" t="s">
        <v>157</v>
      </c>
      <c r="B61">
        <v>1084</v>
      </c>
      <c r="C61" s="1">
        <v>45151</v>
      </c>
      <c r="D61" t="s">
        <v>158</v>
      </c>
      <c r="E61">
        <v>62</v>
      </c>
      <c r="F61" t="s">
        <v>54</v>
      </c>
      <c r="G61" t="s">
        <v>54</v>
      </c>
      <c r="H61" t="s">
        <v>44</v>
      </c>
      <c r="I61">
        <v>21</v>
      </c>
      <c r="J61" t="s">
        <v>24</v>
      </c>
      <c r="K61">
        <v>3497.98</v>
      </c>
      <c r="L61">
        <v>3765.31</v>
      </c>
      <c r="M61" t="s">
        <v>46</v>
      </c>
      <c r="N61" s="30">
        <v>0.08</v>
      </c>
      <c r="O61" t="s">
        <v>26</v>
      </c>
      <c r="P61" t="s">
        <v>34</v>
      </c>
      <c r="Q61" t="s">
        <v>28</v>
      </c>
    </row>
    <row r="62" spans="1:17" x14ac:dyDescent="0.35">
      <c r="A62" t="s">
        <v>159</v>
      </c>
      <c r="B62">
        <v>1092</v>
      </c>
      <c r="C62" s="1">
        <v>44946</v>
      </c>
      <c r="D62" t="s">
        <v>160</v>
      </c>
      <c r="E62">
        <v>44</v>
      </c>
      <c r="F62" t="s">
        <v>21</v>
      </c>
      <c r="G62" t="s">
        <v>54</v>
      </c>
      <c r="H62" t="s">
        <v>33</v>
      </c>
      <c r="I62">
        <v>40</v>
      </c>
      <c r="J62" t="s">
        <v>51</v>
      </c>
      <c r="K62">
        <v>4624.16</v>
      </c>
      <c r="L62">
        <v>4731.9799999999996</v>
      </c>
      <c r="M62" t="s">
        <v>46</v>
      </c>
      <c r="N62" s="30">
        <v>0.2</v>
      </c>
      <c r="O62" t="s">
        <v>40</v>
      </c>
      <c r="P62" t="s">
        <v>27</v>
      </c>
      <c r="Q62" t="s">
        <v>35</v>
      </c>
    </row>
    <row r="63" spans="1:17" x14ac:dyDescent="0.35">
      <c r="A63" t="s">
        <v>161</v>
      </c>
      <c r="B63">
        <v>1060</v>
      </c>
      <c r="C63" s="1">
        <v>45039</v>
      </c>
      <c r="D63" t="s">
        <v>162</v>
      </c>
      <c r="E63">
        <v>26</v>
      </c>
      <c r="F63" t="s">
        <v>100</v>
      </c>
      <c r="G63" t="s">
        <v>22</v>
      </c>
      <c r="H63" t="s">
        <v>23</v>
      </c>
      <c r="I63">
        <v>23</v>
      </c>
      <c r="J63" t="s">
        <v>45</v>
      </c>
      <c r="K63">
        <v>4110.6000000000004</v>
      </c>
      <c r="L63">
        <v>4488.37</v>
      </c>
      <c r="M63" t="s">
        <v>46</v>
      </c>
      <c r="N63" s="30">
        <v>0.12</v>
      </c>
      <c r="O63" t="s">
        <v>47</v>
      </c>
      <c r="P63" t="s">
        <v>27</v>
      </c>
      <c r="Q63" t="s">
        <v>28</v>
      </c>
    </row>
    <row r="64" spans="1:17" x14ac:dyDescent="0.35">
      <c r="A64" t="s">
        <v>163</v>
      </c>
      <c r="B64">
        <v>1071</v>
      </c>
      <c r="C64" s="1">
        <v>45066</v>
      </c>
      <c r="D64" t="s">
        <v>164</v>
      </c>
      <c r="E64">
        <v>43</v>
      </c>
      <c r="F64" t="s">
        <v>31</v>
      </c>
      <c r="G64" t="s">
        <v>32</v>
      </c>
      <c r="H64" t="s">
        <v>33</v>
      </c>
      <c r="I64">
        <v>6</v>
      </c>
      <c r="J64" t="s">
        <v>24</v>
      </c>
      <c r="K64">
        <v>2831.23</v>
      </c>
      <c r="L64">
        <v>3206.98</v>
      </c>
      <c r="M64" t="s">
        <v>25</v>
      </c>
      <c r="N64" s="30">
        <v>0.06</v>
      </c>
      <c r="O64" t="s">
        <v>40</v>
      </c>
      <c r="P64" t="s">
        <v>27</v>
      </c>
      <c r="Q64" t="s">
        <v>41</v>
      </c>
    </row>
    <row r="65" spans="1:17" x14ac:dyDescent="0.35">
      <c r="A65" t="s">
        <v>165</v>
      </c>
      <c r="B65">
        <v>1044</v>
      </c>
      <c r="C65" s="1">
        <v>44973</v>
      </c>
      <c r="D65" t="s">
        <v>166</v>
      </c>
      <c r="E65">
        <v>64</v>
      </c>
      <c r="F65" t="s">
        <v>54</v>
      </c>
      <c r="G65" t="s">
        <v>54</v>
      </c>
      <c r="H65" t="s">
        <v>50</v>
      </c>
      <c r="I65">
        <v>22</v>
      </c>
      <c r="J65" t="s">
        <v>39</v>
      </c>
      <c r="K65">
        <v>3373.46</v>
      </c>
      <c r="L65">
        <v>4454.76</v>
      </c>
      <c r="M65" t="s">
        <v>25</v>
      </c>
      <c r="N65" s="30">
        <v>0.22</v>
      </c>
      <c r="O65" t="s">
        <v>40</v>
      </c>
      <c r="P65" t="s">
        <v>34</v>
      </c>
      <c r="Q65" t="s">
        <v>28</v>
      </c>
    </row>
    <row r="66" spans="1:17" x14ac:dyDescent="0.35">
      <c r="A66" t="s">
        <v>167</v>
      </c>
      <c r="B66">
        <v>1008</v>
      </c>
      <c r="C66" s="1">
        <v>44927</v>
      </c>
      <c r="D66" t="s">
        <v>168</v>
      </c>
      <c r="E66">
        <v>39</v>
      </c>
      <c r="F66" t="s">
        <v>100</v>
      </c>
      <c r="G66" t="s">
        <v>54</v>
      </c>
      <c r="H66" t="s">
        <v>44</v>
      </c>
      <c r="I66">
        <v>38</v>
      </c>
      <c r="J66" t="s">
        <v>45</v>
      </c>
      <c r="K66">
        <v>4635.2299999999996</v>
      </c>
      <c r="L66">
        <v>5075.4399999999996</v>
      </c>
      <c r="M66" t="s">
        <v>25</v>
      </c>
      <c r="N66" s="30">
        <v>0.05</v>
      </c>
      <c r="O66" t="s">
        <v>26</v>
      </c>
      <c r="P66" t="s">
        <v>27</v>
      </c>
      <c r="Q66" t="s">
        <v>35</v>
      </c>
    </row>
    <row r="67" spans="1:17" x14ac:dyDescent="0.35">
      <c r="A67" t="s">
        <v>169</v>
      </c>
      <c r="B67">
        <v>1047</v>
      </c>
      <c r="C67" s="1">
        <v>45016</v>
      </c>
      <c r="D67" t="s">
        <v>170</v>
      </c>
      <c r="E67">
        <v>64</v>
      </c>
      <c r="F67" t="s">
        <v>65</v>
      </c>
      <c r="G67" t="s">
        <v>22</v>
      </c>
      <c r="H67" t="s">
        <v>33</v>
      </c>
      <c r="I67">
        <v>37</v>
      </c>
      <c r="J67" t="s">
        <v>51</v>
      </c>
      <c r="K67">
        <v>3114.88</v>
      </c>
      <c r="L67">
        <v>5256.78</v>
      </c>
      <c r="M67" t="s">
        <v>25</v>
      </c>
      <c r="N67" s="30">
        <v>0.26</v>
      </c>
      <c r="O67" t="s">
        <v>47</v>
      </c>
      <c r="P67" t="s">
        <v>27</v>
      </c>
      <c r="Q67" t="s">
        <v>35</v>
      </c>
    </row>
    <row r="68" spans="1:17" x14ac:dyDescent="0.35">
      <c r="A68" t="s">
        <v>171</v>
      </c>
      <c r="B68">
        <v>1035</v>
      </c>
      <c r="C68" s="1">
        <v>45068</v>
      </c>
      <c r="D68" t="s">
        <v>172</v>
      </c>
      <c r="E68">
        <v>47</v>
      </c>
      <c r="F68" t="s">
        <v>21</v>
      </c>
      <c r="G68" t="s">
        <v>54</v>
      </c>
      <c r="H68" t="s">
        <v>33</v>
      </c>
      <c r="I68">
        <v>45</v>
      </c>
      <c r="J68" t="s">
        <v>39</v>
      </c>
      <c r="K68">
        <v>4132.79</v>
      </c>
      <c r="L68">
        <v>4624.1000000000004</v>
      </c>
      <c r="M68" t="s">
        <v>46</v>
      </c>
      <c r="N68" s="30">
        <v>0.15</v>
      </c>
      <c r="O68" t="s">
        <v>47</v>
      </c>
      <c r="P68" t="s">
        <v>27</v>
      </c>
      <c r="Q68" t="s">
        <v>28</v>
      </c>
    </row>
    <row r="69" spans="1:17" x14ac:dyDescent="0.35">
      <c r="A69" t="s">
        <v>173</v>
      </c>
      <c r="B69">
        <v>1078</v>
      </c>
      <c r="C69" s="1">
        <v>45246</v>
      </c>
      <c r="D69" t="s">
        <v>174</v>
      </c>
      <c r="E69">
        <v>60</v>
      </c>
      <c r="F69" t="s">
        <v>100</v>
      </c>
      <c r="G69" t="s">
        <v>54</v>
      </c>
      <c r="H69" t="s">
        <v>50</v>
      </c>
      <c r="I69">
        <v>8</v>
      </c>
      <c r="J69" t="s">
        <v>24</v>
      </c>
      <c r="K69">
        <v>3459.61</v>
      </c>
      <c r="L69">
        <v>3657.23</v>
      </c>
      <c r="M69" t="s">
        <v>25</v>
      </c>
      <c r="N69" s="30">
        <v>0.03</v>
      </c>
      <c r="O69" t="s">
        <v>40</v>
      </c>
      <c r="P69" t="s">
        <v>34</v>
      </c>
      <c r="Q69" t="s">
        <v>41</v>
      </c>
    </row>
    <row r="70" spans="1:17" x14ac:dyDescent="0.35">
      <c r="A70" t="s">
        <v>175</v>
      </c>
      <c r="B70">
        <v>1081</v>
      </c>
      <c r="C70" s="1">
        <v>44964</v>
      </c>
      <c r="D70" t="s">
        <v>176</v>
      </c>
      <c r="E70">
        <v>34</v>
      </c>
      <c r="F70" t="s">
        <v>54</v>
      </c>
      <c r="G70" t="s">
        <v>22</v>
      </c>
      <c r="H70" t="s">
        <v>33</v>
      </c>
      <c r="I70">
        <v>41</v>
      </c>
      <c r="J70" t="s">
        <v>24</v>
      </c>
      <c r="K70">
        <v>2782.08</v>
      </c>
      <c r="L70">
        <v>3879.24</v>
      </c>
      <c r="M70" t="s">
        <v>46</v>
      </c>
      <c r="N70" s="30">
        <v>0.21</v>
      </c>
      <c r="O70" t="s">
        <v>40</v>
      </c>
      <c r="P70" t="s">
        <v>34</v>
      </c>
      <c r="Q70" t="s">
        <v>41</v>
      </c>
    </row>
    <row r="71" spans="1:17" x14ac:dyDescent="0.35">
      <c r="A71" t="s">
        <v>177</v>
      </c>
      <c r="B71">
        <v>1036</v>
      </c>
      <c r="C71" s="1">
        <v>45219</v>
      </c>
      <c r="D71" t="s">
        <v>178</v>
      </c>
      <c r="E71">
        <v>43</v>
      </c>
      <c r="F71" t="s">
        <v>65</v>
      </c>
      <c r="G71" t="s">
        <v>22</v>
      </c>
      <c r="H71" t="s">
        <v>33</v>
      </c>
      <c r="I71">
        <v>49</v>
      </c>
      <c r="J71" t="s">
        <v>45</v>
      </c>
      <c r="K71">
        <v>1247.0999999999999</v>
      </c>
      <c r="L71">
        <v>1429.44</v>
      </c>
      <c r="M71" t="s">
        <v>46</v>
      </c>
      <c r="N71" s="30">
        <v>0.16</v>
      </c>
      <c r="O71" t="s">
        <v>26</v>
      </c>
      <c r="P71" t="s">
        <v>27</v>
      </c>
      <c r="Q71" t="s">
        <v>35</v>
      </c>
    </row>
    <row r="72" spans="1:17" x14ac:dyDescent="0.35">
      <c r="A72" t="s">
        <v>179</v>
      </c>
      <c r="B72">
        <v>1050</v>
      </c>
      <c r="C72" s="1">
        <v>45065</v>
      </c>
      <c r="D72" t="s">
        <v>180</v>
      </c>
      <c r="E72">
        <v>53</v>
      </c>
      <c r="F72" t="s">
        <v>54</v>
      </c>
      <c r="G72" t="s">
        <v>81</v>
      </c>
      <c r="H72" t="s">
        <v>50</v>
      </c>
      <c r="I72">
        <v>35</v>
      </c>
      <c r="J72" t="s">
        <v>45</v>
      </c>
      <c r="K72">
        <v>2158.69</v>
      </c>
      <c r="L72">
        <v>2384.38</v>
      </c>
      <c r="M72" t="s">
        <v>25</v>
      </c>
      <c r="N72" s="30">
        <v>0.09</v>
      </c>
      <c r="O72" t="s">
        <v>40</v>
      </c>
      <c r="P72" t="s">
        <v>27</v>
      </c>
      <c r="Q72" t="s">
        <v>28</v>
      </c>
    </row>
    <row r="73" spans="1:17" x14ac:dyDescent="0.35">
      <c r="A73" t="s">
        <v>181</v>
      </c>
      <c r="B73">
        <v>1004</v>
      </c>
      <c r="C73" s="1">
        <v>45282</v>
      </c>
      <c r="D73" t="s">
        <v>182</v>
      </c>
      <c r="E73">
        <v>18</v>
      </c>
      <c r="F73" t="s">
        <v>54</v>
      </c>
      <c r="G73" t="s">
        <v>32</v>
      </c>
      <c r="H73" t="s">
        <v>23</v>
      </c>
      <c r="I73">
        <v>11</v>
      </c>
      <c r="J73" t="s">
        <v>45</v>
      </c>
      <c r="K73">
        <v>4840.33</v>
      </c>
      <c r="L73">
        <v>5084.29</v>
      </c>
      <c r="M73" t="s">
        <v>46</v>
      </c>
      <c r="N73" s="30">
        <v>0.13</v>
      </c>
      <c r="O73" t="s">
        <v>26</v>
      </c>
      <c r="P73" t="s">
        <v>34</v>
      </c>
      <c r="Q73" t="s">
        <v>41</v>
      </c>
    </row>
    <row r="74" spans="1:17" x14ac:dyDescent="0.35">
      <c r="A74" t="s">
        <v>183</v>
      </c>
      <c r="B74">
        <v>1002</v>
      </c>
      <c r="C74" s="1">
        <v>45259</v>
      </c>
      <c r="D74" t="s">
        <v>184</v>
      </c>
      <c r="E74">
        <v>25</v>
      </c>
      <c r="F74" t="s">
        <v>65</v>
      </c>
      <c r="G74" t="s">
        <v>32</v>
      </c>
      <c r="H74" t="s">
        <v>50</v>
      </c>
      <c r="I74">
        <v>24</v>
      </c>
      <c r="J74" t="s">
        <v>24</v>
      </c>
      <c r="K74">
        <v>3305.94</v>
      </c>
      <c r="L74">
        <v>3599.27</v>
      </c>
      <c r="M74" t="s">
        <v>46</v>
      </c>
      <c r="N74" s="30">
        <v>0.09</v>
      </c>
      <c r="O74" t="s">
        <v>47</v>
      </c>
      <c r="P74" t="s">
        <v>34</v>
      </c>
      <c r="Q74" t="s">
        <v>41</v>
      </c>
    </row>
    <row r="75" spans="1:17" x14ac:dyDescent="0.35">
      <c r="A75" t="s">
        <v>185</v>
      </c>
      <c r="B75">
        <v>1006</v>
      </c>
      <c r="C75" s="1">
        <v>45185</v>
      </c>
      <c r="D75" t="s">
        <v>186</v>
      </c>
      <c r="E75">
        <v>52</v>
      </c>
      <c r="F75" t="s">
        <v>54</v>
      </c>
      <c r="G75" t="s">
        <v>54</v>
      </c>
      <c r="H75" t="s">
        <v>23</v>
      </c>
      <c r="I75">
        <v>49</v>
      </c>
      <c r="J75" t="s">
        <v>39</v>
      </c>
      <c r="K75">
        <v>2843.76</v>
      </c>
      <c r="L75">
        <v>3146.6</v>
      </c>
      <c r="M75" t="s">
        <v>46</v>
      </c>
      <c r="N75" s="30">
        <v>0.08</v>
      </c>
      <c r="O75" t="s">
        <v>26</v>
      </c>
      <c r="P75" t="s">
        <v>27</v>
      </c>
      <c r="Q75" t="s">
        <v>35</v>
      </c>
    </row>
    <row r="76" spans="1:17" x14ac:dyDescent="0.35">
      <c r="A76" t="s">
        <v>187</v>
      </c>
      <c r="B76">
        <v>1054</v>
      </c>
      <c r="C76" s="1">
        <v>45087</v>
      </c>
      <c r="D76" t="s">
        <v>188</v>
      </c>
      <c r="E76">
        <v>32</v>
      </c>
      <c r="F76" t="s">
        <v>65</v>
      </c>
      <c r="G76" t="s">
        <v>32</v>
      </c>
      <c r="H76" t="s">
        <v>44</v>
      </c>
      <c r="I76">
        <v>21</v>
      </c>
      <c r="J76" t="s">
        <v>24</v>
      </c>
      <c r="K76">
        <v>4668.1400000000003</v>
      </c>
      <c r="L76">
        <v>5040.22</v>
      </c>
      <c r="M76" t="s">
        <v>46</v>
      </c>
      <c r="N76" s="30">
        <v>0.05</v>
      </c>
      <c r="O76" t="s">
        <v>40</v>
      </c>
      <c r="P76" t="s">
        <v>34</v>
      </c>
      <c r="Q76" t="s">
        <v>41</v>
      </c>
    </row>
    <row r="77" spans="1:17" x14ac:dyDescent="0.35">
      <c r="A77" t="s">
        <v>189</v>
      </c>
      <c r="B77">
        <v>1004</v>
      </c>
      <c r="C77" s="1">
        <v>45104</v>
      </c>
      <c r="D77" t="s">
        <v>145</v>
      </c>
      <c r="E77">
        <v>64</v>
      </c>
      <c r="F77" t="s">
        <v>100</v>
      </c>
      <c r="G77" t="s">
        <v>54</v>
      </c>
      <c r="H77" t="s">
        <v>23</v>
      </c>
      <c r="I77">
        <v>2</v>
      </c>
      <c r="J77" t="s">
        <v>51</v>
      </c>
      <c r="K77">
        <v>2953.23</v>
      </c>
      <c r="L77">
        <v>2977.52</v>
      </c>
      <c r="M77" t="s">
        <v>25</v>
      </c>
      <c r="N77" s="30">
        <v>0.11</v>
      </c>
      <c r="O77" t="s">
        <v>47</v>
      </c>
      <c r="P77" t="s">
        <v>27</v>
      </c>
      <c r="Q77" t="s">
        <v>28</v>
      </c>
    </row>
    <row r="78" spans="1:17" x14ac:dyDescent="0.35">
      <c r="A78" t="s">
        <v>190</v>
      </c>
      <c r="B78">
        <v>1054</v>
      </c>
      <c r="C78" s="1">
        <v>44936</v>
      </c>
      <c r="D78" t="s">
        <v>70</v>
      </c>
      <c r="E78">
        <v>39</v>
      </c>
      <c r="F78" t="s">
        <v>65</v>
      </c>
      <c r="G78" t="s">
        <v>81</v>
      </c>
      <c r="H78" t="s">
        <v>23</v>
      </c>
      <c r="I78">
        <v>40</v>
      </c>
      <c r="J78" t="s">
        <v>24</v>
      </c>
      <c r="K78">
        <v>2654.11</v>
      </c>
      <c r="L78">
        <v>2929.32</v>
      </c>
      <c r="M78" t="s">
        <v>25</v>
      </c>
      <c r="N78" s="30">
        <v>0.08</v>
      </c>
      <c r="O78" t="s">
        <v>26</v>
      </c>
      <c r="P78" t="s">
        <v>34</v>
      </c>
      <c r="Q78" t="s">
        <v>35</v>
      </c>
    </row>
    <row r="79" spans="1:17" x14ac:dyDescent="0.35">
      <c r="A79" t="s">
        <v>191</v>
      </c>
      <c r="B79">
        <v>1093</v>
      </c>
      <c r="C79" s="1">
        <v>45187</v>
      </c>
      <c r="D79" t="s">
        <v>192</v>
      </c>
      <c r="E79">
        <v>31</v>
      </c>
      <c r="F79" t="s">
        <v>65</v>
      </c>
      <c r="G79" t="s">
        <v>22</v>
      </c>
      <c r="H79" t="s">
        <v>44</v>
      </c>
      <c r="I79">
        <v>19</v>
      </c>
      <c r="J79" t="s">
        <v>51</v>
      </c>
      <c r="K79">
        <v>3808.59</v>
      </c>
      <c r="L79">
        <v>4544.51</v>
      </c>
      <c r="M79" t="s">
        <v>46</v>
      </c>
      <c r="N79" s="30">
        <v>0.21</v>
      </c>
      <c r="O79" t="s">
        <v>47</v>
      </c>
      <c r="P79" t="s">
        <v>27</v>
      </c>
      <c r="Q79" t="s">
        <v>35</v>
      </c>
    </row>
    <row r="80" spans="1:17" x14ac:dyDescent="0.35">
      <c r="A80" t="s">
        <v>193</v>
      </c>
      <c r="B80">
        <v>1063</v>
      </c>
      <c r="C80" s="1">
        <v>45064</v>
      </c>
      <c r="D80" t="s">
        <v>194</v>
      </c>
      <c r="E80">
        <v>43</v>
      </c>
      <c r="F80" t="s">
        <v>21</v>
      </c>
      <c r="G80" t="s">
        <v>22</v>
      </c>
      <c r="H80" t="s">
        <v>23</v>
      </c>
      <c r="I80">
        <v>39</v>
      </c>
      <c r="J80" t="s">
        <v>39</v>
      </c>
      <c r="K80">
        <v>3577.69</v>
      </c>
      <c r="L80">
        <v>3931.25</v>
      </c>
      <c r="M80" t="s">
        <v>25</v>
      </c>
      <c r="N80" s="30">
        <v>0.21</v>
      </c>
      <c r="O80" t="s">
        <v>26</v>
      </c>
      <c r="P80" t="s">
        <v>27</v>
      </c>
      <c r="Q80" t="s">
        <v>28</v>
      </c>
    </row>
    <row r="81" spans="1:17" x14ac:dyDescent="0.35">
      <c r="A81" t="s">
        <v>195</v>
      </c>
      <c r="B81">
        <v>1018</v>
      </c>
      <c r="C81" s="1">
        <v>45098</v>
      </c>
      <c r="D81" t="s">
        <v>196</v>
      </c>
      <c r="E81">
        <v>45</v>
      </c>
      <c r="F81" t="s">
        <v>65</v>
      </c>
      <c r="G81" t="s">
        <v>22</v>
      </c>
      <c r="H81" t="s">
        <v>50</v>
      </c>
      <c r="I81">
        <v>28</v>
      </c>
      <c r="J81" t="s">
        <v>45</v>
      </c>
      <c r="K81">
        <v>1006.14</v>
      </c>
      <c r="L81">
        <v>2043.45</v>
      </c>
      <c r="M81" t="s">
        <v>46</v>
      </c>
      <c r="N81" s="30">
        <v>0.15</v>
      </c>
      <c r="O81" t="s">
        <v>40</v>
      </c>
      <c r="P81" t="s">
        <v>34</v>
      </c>
      <c r="Q81" t="s">
        <v>35</v>
      </c>
    </row>
    <row r="82" spans="1:17" x14ac:dyDescent="0.35">
      <c r="A82" t="s">
        <v>197</v>
      </c>
      <c r="B82">
        <v>1090</v>
      </c>
      <c r="C82" s="1">
        <v>44939</v>
      </c>
      <c r="D82" t="s">
        <v>198</v>
      </c>
      <c r="E82">
        <v>40</v>
      </c>
      <c r="F82" t="s">
        <v>65</v>
      </c>
      <c r="G82" t="s">
        <v>32</v>
      </c>
      <c r="H82" t="s">
        <v>23</v>
      </c>
      <c r="I82">
        <v>17</v>
      </c>
      <c r="J82" t="s">
        <v>45</v>
      </c>
      <c r="K82">
        <v>2382.98</v>
      </c>
      <c r="L82">
        <v>2839.73</v>
      </c>
      <c r="M82" t="s">
        <v>25</v>
      </c>
      <c r="N82" s="30">
        <v>0.23</v>
      </c>
      <c r="O82" t="s">
        <v>40</v>
      </c>
      <c r="P82" t="s">
        <v>27</v>
      </c>
      <c r="Q82" t="s">
        <v>41</v>
      </c>
    </row>
    <row r="83" spans="1:17" x14ac:dyDescent="0.35">
      <c r="A83" t="s">
        <v>199</v>
      </c>
      <c r="B83">
        <v>1044</v>
      </c>
      <c r="C83" s="1">
        <v>45094</v>
      </c>
      <c r="D83" t="s">
        <v>200</v>
      </c>
      <c r="E83">
        <v>31</v>
      </c>
      <c r="F83" t="s">
        <v>100</v>
      </c>
      <c r="G83" t="s">
        <v>81</v>
      </c>
      <c r="H83" t="s">
        <v>44</v>
      </c>
      <c r="I83">
        <v>6</v>
      </c>
      <c r="J83" t="s">
        <v>24</v>
      </c>
      <c r="K83">
        <v>2388.9499999999998</v>
      </c>
      <c r="L83">
        <v>2742.97</v>
      </c>
      <c r="M83" t="s">
        <v>25</v>
      </c>
      <c r="N83" s="30">
        <v>0.25</v>
      </c>
      <c r="O83" t="s">
        <v>47</v>
      </c>
      <c r="P83" t="s">
        <v>27</v>
      </c>
      <c r="Q83" t="s">
        <v>41</v>
      </c>
    </row>
    <row r="84" spans="1:17" x14ac:dyDescent="0.35">
      <c r="A84" t="s">
        <v>201</v>
      </c>
      <c r="B84">
        <v>1034</v>
      </c>
      <c r="C84" s="1">
        <v>45056</v>
      </c>
      <c r="D84" t="s">
        <v>164</v>
      </c>
      <c r="E84">
        <v>41</v>
      </c>
      <c r="F84" t="s">
        <v>21</v>
      </c>
      <c r="G84" t="s">
        <v>32</v>
      </c>
      <c r="H84" t="s">
        <v>50</v>
      </c>
      <c r="I84">
        <v>19</v>
      </c>
      <c r="J84" t="s">
        <v>45</v>
      </c>
      <c r="K84">
        <v>1922.21</v>
      </c>
      <c r="L84">
        <v>2180.83</v>
      </c>
      <c r="M84" t="s">
        <v>25</v>
      </c>
      <c r="N84" s="30">
        <v>0.17</v>
      </c>
      <c r="O84" t="s">
        <v>47</v>
      </c>
      <c r="P84" t="s">
        <v>27</v>
      </c>
      <c r="Q84" t="s">
        <v>28</v>
      </c>
    </row>
    <row r="85" spans="1:17" x14ac:dyDescent="0.35">
      <c r="A85" t="s">
        <v>202</v>
      </c>
      <c r="B85">
        <v>1074</v>
      </c>
      <c r="C85" s="1">
        <v>45010</v>
      </c>
      <c r="D85" t="s">
        <v>203</v>
      </c>
      <c r="E85">
        <v>19</v>
      </c>
      <c r="F85" t="s">
        <v>31</v>
      </c>
      <c r="G85" t="s">
        <v>32</v>
      </c>
      <c r="H85" t="s">
        <v>44</v>
      </c>
      <c r="I85">
        <v>38</v>
      </c>
      <c r="J85" t="s">
        <v>39</v>
      </c>
      <c r="K85">
        <v>2610.6</v>
      </c>
      <c r="L85">
        <v>3836.94</v>
      </c>
      <c r="M85" t="s">
        <v>25</v>
      </c>
      <c r="N85" s="30">
        <v>0.19</v>
      </c>
      <c r="O85" t="s">
        <v>47</v>
      </c>
      <c r="P85" t="s">
        <v>34</v>
      </c>
      <c r="Q85" t="s">
        <v>41</v>
      </c>
    </row>
    <row r="86" spans="1:17" x14ac:dyDescent="0.35">
      <c r="A86" t="s">
        <v>204</v>
      </c>
      <c r="B86">
        <v>1062</v>
      </c>
      <c r="C86" s="1">
        <v>45247</v>
      </c>
      <c r="D86" t="s">
        <v>205</v>
      </c>
      <c r="E86">
        <v>62</v>
      </c>
      <c r="F86" t="s">
        <v>100</v>
      </c>
      <c r="G86" t="s">
        <v>81</v>
      </c>
      <c r="H86" t="s">
        <v>44</v>
      </c>
      <c r="I86">
        <v>28</v>
      </c>
      <c r="J86" t="s">
        <v>45</v>
      </c>
      <c r="K86">
        <v>2094.88</v>
      </c>
      <c r="L86">
        <v>2168.91</v>
      </c>
      <c r="M86" t="s">
        <v>25</v>
      </c>
      <c r="N86" s="30">
        <v>0.08</v>
      </c>
      <c r="O86" t="s">
        <v>26</v>
      </c>
      <c r="P86" t="s">
        <v>34</v>
      </c>
      <c r="Q86" t="s">
        <v>28</v>
      </c>
    </row>
    <row r="87" spans="1:17" x14ac:dyDescent="0.35">
      <c r="A87" t="s">
        <v>206</v>
      </c>
      <c r="B87">
        <v>1100</v>
      </c>
      <c r="C87" s="1">
        <v>45245</v>
      </c>
      <c r="D87" t="s">
        <v>80</v>
      </c>
      <c r="E87">
        <v>43</v>
      </c>
      <c r="F87" t="s">
        <v>100</v>
      </c>
      <c r="G87" t="s">
        <v>81</v>
      </c>
      <c r="H87" t="s">
        <v>33</v>
      </c>
      <c r="I87">
        <v>2</v>
      </c>
      <c r="J87" t="s">
        <v>24</v>
      </c>
      <c r="K87">
        <v>1036.76</v>
      </c>
      <c r="L87">
        <v>1189.3499999999999</v>
      </c>
      <c r="M87" t="s">
        <v>46</v>
      </c>
      <c r="N87" s="30">
        <v>0.27</v>
      </c>
      <c r="O87" t="s">
        <v>40</v>
      </c>
      <c r="P87" t="s">
        <v>34</v>
      </c>
      <c r="Q87" t="s">
        <v>28</v>
      </c>
    </row>
    <row r="88" spans="1:17" x14ac:dyDescent="0.35">
      <c r="A88" t="s">
        <v>207</v>
      </c>
      <c r="B88">
        <v>1014</v>
      </c>
      <c r="C88" s="1">
        <v>45027</v>
      </c>
      <c r="D88" t="s">
        <v>158</v>
      </c>
      <c r="E88">
        <v>31</v>
      </c>
      <c r="F88" t="s">
        <v>31</v>
      </c>
      <c r="G88" t="s">
        <v>81</v>
      </c>
      <c r="H88" t="s">
        <v>33</v>
      </c>
      <c r="I88">
        <v>38</v>
      </c>
      <c r="J88" t="s">
        <v>39</v>
      </c>
      <c r="K88">
        <v>2091.21</v>
      </c>
      <c r="L88">
        <v>2527</v>
      </c>
      <c r="M88" t="s">
        <v>25</v>
      </c>
      <c r="N88" s="30">
        <v>0.01</v>
      </c>
      <c r="O88" t="s">
        <v>47</v>
      </c>
      <c r="P88" t="s">
        <v>27</v>
      </c>
      <c r="Q88" t="s">
        <v>41</v>
      </c>
    </row>
    <row r="89" spans="1:17" x14ac:dyDescent="0.35">
      <c r="A89" t="s">
        <v>208</v>
      </c>
      <c r="B89">
        <v>1095</v>
      </c>
      <c r="C89" s="1">
        <v>45255</v>
      </c>
      <c r="D89" t="s">
        <v>209</v>
      </c>
      <c r="E89">
        <v>24</v>
      </c>
      <c r="F89" t="s">
        <v>65</v>
      </c>
      <c r="G89" t="s">
        <v>81</v>
      </c>
      <c r="H89" t="s">
        <v>44</v>
      </c>
      <c r="I89">
        <v>37</v>
      </c>
      <c r="J89" t="s">
        <v>51</v>
      </c>
      <c r="K89">
        <v>407.77</v>
      </c>
      <c r="L89">
        <v>860.95</v>
      </c>
      <c r="M89" t="s">
        <v>46</v>
      </c>
      <c r="N89" s="30">
        <v>0.1</v>
      </c>
      <c r="O89" t="s">
        <v>47</v>
      </c>
      <c r="P89" t="s">
        <v>34</v>
      </c>
      <c r="Q89" t="s">
        <v>28</v>
      </c>
    </row>
    <row r="90" spans="1:17" x14ac:dyDescent="0.35">
      <c r="A90" t="s">
        <v>210</v>
      </c>
      <c r="B90">
        <v>1048</v>
      </c>
      <c r="C90" s="1">
        <v>45199</v>
      </c>
      <c r="D90" t="s">
        <v>58</v>
      </c>
      <c r="E90">
        <v>20</v>
      </c>
      <c r="F90" t="s">
        <v>54</v>
      </c>
      <c r="G90" t="s">
        <v>22</v>
      </c>
      <c r="H90" t="s">
        <v>44</v>
      </c>
      <c r="I90">
        <v>4</v>
      </c>
      <c r="J90" t="s">
        <v>24</v>
      </c>
      <c r="K90">
        <v>2900.14</v>
      </c>
      <c r="L90">
        <v>2910.51</v>
      </c>
      <c r="M90" t="s">
        <v>46</v>
      </c>
      <c r="N90" s="30">
        <v>0.22</v>
      </c>
      <c r="O90" t="s">
        <v>47</v>
      </c>
      <c r="P90" t="s">
        <v>27</v>
      </c>
      <c r="Q90" t="s">
        <v>41</v>
      </c>
    </row>
    <row r="91" spans="1:17" x14ac:dyDescent="0.35">
      <c r="A91" t="s">
        <v>211</v>
      </c>
      <c r="B91">
        <v>1015</v>
      </c>
      <c r="C91" s="1">
        <v>45191</v>
      </c>
      <c r="D91" t="s">
        <v>150</v>
      </c>
      <c r="E91">
        <v>64</v>
      </c>
      <c r="F91" t="s">
        <v>21</v>
      </c>
      <c r="G91" t="s">
        <v>38</v>
      </c>
      <c r="H91" t="s">
        <v>44</v>
      </c>
      <c r="I91">
        <v>22</v>
      </c>
      <c r="J91" t="s">
        <v>51</v>
      </c>
      <c r="K91">
        <v>4275.59</v>
      </c>
      <c r="L91">
        <v>4576.72</v>
      </c>
      <c r="M91" t="s">
        <v>25</v>
      </c>
      <c r="N91" s="30">
        <v>0.02</v>
      </c>
      <c r="O91" t="s">
        <v>26</v>
      </c>
      <c r="P91" t="s">
        <v>27</v>
      </c>
      <c r="Q91" t="s">
        <v>35</v>
      </c>
    </row>
    <row r="92" spans="1:17" x14ac:dyDescent="0.35">
      <c r="A92" t="s">
        <v>212</v>
      </c>
      <c r="B92">
        <v>1072</v>
      </c>
      <c r="C92" s="1">
        <v>44964</v>
      </c>
      <c r="D92" t="s">
        <v>112</v>
      </c>
      <c r="E92">
        <v>40</v>
      </c>
      <c r="F92" t="s">
        <v>54</v>
      </c>
      <c r="G92" t="s">
        <v>38</v>
      </c>
      <c r="H92" t="s">
        <v>33</v>
      </c>
      <c r="I92">
        <v>26</v>
      </c>
      <c r="J92" t="s">
        <v>39</v>
      </c>
      <c r="K92">
        <v>3640.17</v>
      </c>
      <c r="L92">
        <v>4002.63</v>
      </c>
      <c r="M92" t="s">
        <v>46</v>
      </c>
      <c r="N92" s="30">
        <v>0.05</v>
      </c>
      <c r="O92" t="s">
        <v>47</v>
      </c>
      <c r="P92" t="s">
        <v>34</v>
      </c>
      <c r="Q92" t="s">
        <v>35</v>
      </c>
    </row>
    <row r="93" spans="1:17" x14ac:dyDescent="0.35">
      <c r="A93" t="s">
        <v>213</v>
      </c>
      <c r="B93">
        <v>1078</v>
      </c>
      <c r="C93" s="1">
        <v>45020</v>
      </c>
      <c r="D93" t="s">
        <v>214</v>
      </c>
      <c r="E93">
        <v>63</v>
      </c>
      <c r="F93" t="s">
        <v>31</v>
      </c>
      <c r="G93" t="s">
        <v>81</v>
      </c>
      <c r="H93" t="s">
        <v>33</v>
      </c>
      <c r="I93">
        <v>49</v>
      </c>
      <c r="J93" t="s">
        <v>24</v>
      </c>
      <c r="K93">
        <v>1833.95</v>
      </c>
      <c r="L93">
        <v>2147.14</v>
      </c>
      <c r="M93" t="s">
        <v>25</v>
      </c>
      <c r="N93" s="30">
        <v>0.18</v>
      </c>
      <c r="O93" t="s">
        <v>47</v>
      </c>
      <c r="P93" t="s">
        <v>34</v>
      </c>
      <c r="Q93" t="s">
        <v>28</v>
      </c>
    </row>
    <row r="94" spans="1:17" x14ac:dyDescent="0.35">
      <c r="A94" t="s">
        <v>215</v>
      </c>
      <c r="B94">
        <v>1087</v>
      </c>
      <c r="C94" s="1">
        <v>45021</v>
      </c>
      <c r="D94" t="s">
        <v>216</v>
      </c>
      <c r="E94">
        <v>60</v>
      </c>
      <c r="F94" t="s">
        <v>100</v>
      </c>
      <c r="G94" t="s">
        <v>38</v>
      </c>
      <c r="H94" t="s">
        <v>23</v>
      </c>
      <c r="I94">
        <v>43</v>
      </c>
      <c r="J94" t="s">
        <v>24</v>
      </c>
      <c r="K94">
        <v>481</v>
      </c>
      <c r="L94">
        <v>531.02</v>
      </c>
      <c r="M94" t="s">
        <v>46</v>
      </c>
      <c r="N94" s="30">
        <v>0.17</v>
      </c>
      <c r="O94" t="s">
        <v>26</v>
      </c>
      <c r="P94" t="s">
        <v>27</v>
      </c>
      <c r="Q94" t="s">
        <v>41</v>
      </c>
    </row>
    <row r="95" spans="1:17" x14ac:dyDescent="0.35">
      <c r="A95" t="s">
        <v>217</v>
      </c>
      <c r="B95">
        <v>1062</v>
      </c>
      <c r="C95" s="1">
        <v>45231</v>
      </c>
      <c r="D95" t="s">
        <v>131</v>
      </c>
      <c r="E95">
        <v>64</v>
      </c>
      <c r="F95" t="s">
        <v>100</v>
      </c>
      <c r="G95" t="s">
        <v>38</v>
      </c>
      <c r="H95" t="s">
        <v>23</v>
      </c>
      <c r="I95">
        <v>36</v>
      </c>
      <c r="J95" t="s">
        <v>39</v>
      </c>
      <c r="K95">
        <v>1050.6400000000001</v>
      </c>
      <c r="L95">
        <v>1167.33</v>
      </c>
      <c r="M95" t="s">
        <v>46</v>
      </c>
      <c r="N95" s="30">
        <v>0.22</v>
      </c>
      <c r="O95" t="s">
        <v>26</v>
      </c>
      <c r="P95" t="s">
        <v>27</v>
      </c>
      <c r="Q95" t="s">
        <v>41</v>
      </c>
    </row>
    <row r="96" spans="1:17" x14ac:dyDescent="0.35">
      <c r="A96" t="s">
        <v>218</v>
      </c>
      <c r="B96">
        <v>1040</v>
      </c>
      <c r="C96" s="1">
        <v>44995</v>
      </c>
      <c r="D96" t="s">
        <v>162</v>
      </c>
      <c r="E96">
        <v>62</v>
      </c>
      <c r="F96" t="s">
        <v>21</v>
      </c>
      <c r="G96" t="s">
        <v>81</v>
      </c>
      <c r="H96" t="s">
        <v>44</v>
      </c>
      <c r="I96">
        <v>13</v>
      </c>
      <c r="J96" t="s">
        <v>45</v>
      </c>
      <c r="K96">
        <v>2750.18</v>
      </c>
      <c r="L96">
        <v>2882.85</v>
      </c>
      <c r="M96" t="s">
        <v>25</v>
      </c>
      <c r="N96" s="30">
        <v>0.24</v>
      </c>
      <c r="O96" t="s">
        <v>47</v>
      </c>
      <c r="P96" t="s">
        <v>34</v>
      </c>
      <c r="Q96" t="s">
        <v>35</v>
      </c>
    </row>
    <row r="97" spans="1:17" x14ac:dyDescent="0.35">
      <c r="A97" t="s">
        <v>219</v>
      </c>
      <c r="B97">
        <v>1085</v>
      </c>
      <c r="C97" s="1">
        <v>45244</v>
      </c>
      <c r="D97" t="s">
        <v>220</v>
      </c>
      <c r="E97">
        <v>35</v>
      </c>
      <c r="F97" t="s">
        <v>100</v>
      </c>
      <c r="G97" t="s">
        <v>38</v>
      </c>
      <c r="H97" t="s">
        <v>50</v>
      </c>
      <c r="I97">
        <v>32</v>
      </c>
      <c r="J97" t="s">
        <v>24</v>
      </c>
      <c r="K97">
        <v>1074.93</v>
      </c>
      <c r="L97">
        <v>1492.48</v>
      </c>
      <c r="M97" t="s">
        <v>25</v>
      </c>
      <c r="N97" s="30">
        <v>0.04</v>
      </c>
      <c r="O97" t="s">
        <v>47</v>
      </c>
      <c r="P97" t="s">
        <v>34</v>
      </c>
      <c r="Q97" t="s">
        <v>35</v>
      </c>
    </row>
    <row r="98" spans="1:17" x14ac:dyDescent="0.35">
      <c r="A98" t="s">
        <v>221</v>
      </c>
      <c r="B98">
        <v>1080</v>
      </c>
      <c r="C98" s="1">
        <v>45162</v>
      </c>
      <c r="D98" t="s">
        <v>222</v>
      </c>
      <c r="E98">
        <v>55</v>
      </c>
      <c r="F98" t="s">
        <v>100</v>
      </c>
      <c r="G98" t="s">
        <v>32</v>
      </c>
      <c r="H98" t="s">
        <v>50</v>
      </c>
      <c r="I98">
        <v>17</v>
      </c>
      <c r="J98" t="s">
        <v>24</v>
      </c>
      <c r="K98">
        <v>2742.67</v>
      </c>
      <c r="L98">
        <v>2979.64</v>
      </c>
      <c r="M98" t="s">
        <v>25</v>
      </c>
      <c r="N98" s="30">
        <v>0.01</v>
      </c>
      <c r="O98" t="s">
        <v>26</v>
      </c>
      <c r="P98" t="s">
        <v>34</v>
      </c>
      <c r="Q98" t="s">
        <v>41</v>
      </c>
    </row>
    <row r="99" spans="1:17" x14ac:dyDescent="0.35">
      <c r="A99" t="s">
        <v>223</v>
      </c>
      <c r="B99">
        <v>1082</v>
      </c>
      <c r="C99" s="1">
        <v>45260</v>
      </c>
      <c r="D99" t="s">
        <v>224</v>
      </c>
      <c r="E99">
        <v>52</v>
      </c>
      <c r="F99" t="s">
        <v>21</v>
      </c>
      <c r="G99" t="s">
        <v>54</v>
      </c>
      <c r="H99" t="s">
        <v>33</v>
      </c>
      <c r="I99">
        <v>41</v>
      </c>
      <c r="J99" t="s">
        <v>51</v>
      </c>
      <c r="K99">
        <v>1196.42</v>
      </c>
      <c r="L99">
        <v>1444.97</v>
      </c>
      <c r="M99" t="s">
        <v>25</v>
      </c>
      <c r="N99" s="30">
        <v>0.21</v>
      </c>
      <c r="O99" t="s">
        <v>40</v>
      </c>
      <c r="P99" t="s">
        <v>27</v>
      </c>
      <c r="Q99" t="s">
        <v>28</v>
      </c>
    </row>
    <row r="100" spans="1:17" x14ac:dyDescent="0.35">
      <c r="A100" t="s">
        <v>225</v>
      </c>
      <c r="B100">
        <v>1053</v>
      </c>
      <c r="C100" s="1">
        <v>45063</v>
      </c>
      <c r="D100" t="s">
        <v>168</v>
      </c>
      <c r="E100">
        <v>32</v>
      </c>
      <c r="F100" t="s">
        <v>21</v>
      </c>
      <c r="G100" t="s">
        <v>54</v>
      </c>
      <c r="H100" t="s">
        <v>33</v>
      </c>
      <c r="I100">
        <v>36</v>
      </c>
      <c r="J100" t="s">
        <v>45</v>
      </c>
      <c r="K100">
        <v>4252.17</v>
      </c>
      <c r="L100">
        <v>4720.2700000000004</v>
      </c>
      <c r="M100" t="s">
        <v>46</v>
      </c>
      <c r="N100" s="30">
        <v>0.09</v>
      </c>
      <c r="O100" t="s">
        <v>26</v>
      </c>
      <c r="P100" t="s">
        <v>27</v>
      </c>
      <c r="Q100" t="s">
        <v>35</v>
      </c>
    </row>
    <row r="101" spans="1:17" x14ac:dyDescent="0.35">
      <c r="A101" t="s">
        <v>226</v>
      </c>
      <c r="B101">
        <v>1024</v>
      </c>
      <c r="C101" s="1">
        <v>45002</v>
      </c>
      <c r="D101" t="s">
        <v>127</v>
      </c>
      <c r="E101">
        <v>42</v>
      </c>
      <c r="F101" t="s">
        <v>31</v>
      </c>
      <c r="G101" t="s">
        <v>81</v>
      </c>
      <c r="H101" t="s">
        <v>33</v>
      </c>
      <c r="I101">
        <v>46</v>
      </c>
      <c r="J101" t="s">
        <v>51</v>
      </c>
      <c r="K101">
        <v>2016.49</v>
      </c>
      <c r="L101">
        <v>2338.66</v>
      </c>
      <c r="M101" t="s">
        <v>25</v>
      </c>
      <c r="N101" s="30">
        <v>0.19</v>
      </c>
      <c r="O101" t="s">
        <v>40</v>
      </c>
      <c r="P101" t="s">
        <v>27</v>
      </c>
      <c r="Q101" t="s">
        <v>28</v>
      </c>
    </row>
    <row r="102" spans="1:17" x14ac:dyDescent="0.35">
      <c r="A102" t="s">
        <v>227</v>
      </c>
      <c r="B102">
        <v>1026</v>
      </c>
      <c r="C102" s="1">
        <v>44961</v>
      </c>
      <c r="D102" t="s">
        <v>228</v>
      </c>
      <c r="E102">
        <v>54</v>
      </c>
      <c r="F102" t="s">
        <v>100</v>
      </c>
      <c r="G102" t="s">
        <v>22</v>
      </c>
      <c r="H102" t="s">
        <v>44</v>
      </c>
      <c r="I102">
        <v>19</v>
      </c>
      <c r="J102" t="s">
        <v>51</v>
      </c>
      <c r="K102">
        <v>1265.48</v>
      </c>
      <c r="L102">
        <v>1715.83</v>
      </c>
      <c r="M102" t="s">
        <v>46</v>
      </c>
      <c r="N102" s="30">
        <v>0.05</v>
      </c>
      <c r="O102" t="s">
        <v>47</v>
      </c>
      <c r="P102" t="s">
        <v>27</v>
      </c>
      <c r="Q102" t="s">
        <v>28</v>
      </c>
    </row>
    <row r="103" spans="1:17" x14ac:dyDescent="0.35">
      <c r="A103" t="s">
        <v>229</v>
      </c>
      <c r="B103">
        <v>1089</v>
      </c>
      <c r="C103" s="1">
        <v>44927</v>
      </c>
      <c r="D103" t="s">
        <v>184</v>
      </c>
      <c r="E103">
        <v>45</v>
      </c>
      <c r="F103" t="s">
        <v>100</v>
      </c>
      <c r="G103" t="s">
        <v>81</v>
      </c>
      <c r="H103" t="s">
        <v>50</v>
      </c>
      <c r="I103">
        <v>35</v>
      </c>
      <c r="J103" t="s">
        <v>45</v>
      </c>
      <c r="K103">
        <v>4071.01</v>
      </c>
      <c r="L103">
        <v>4304.7</v>
      </c>
      <c r="M103" t="s">
        <v>46</v>
      </c>
      <c r="N103" s="30">
        <v>0.14000000000000001</v>
      </c>
      <c r="O103" t="s">
        <v>47</v>
      </c>
      <c r="P103" t="s">
        <v>27</v>
      </c>
      <c r="Q103" t="s">
        <v>35</v>
      </c>
    </row>
    <row r="104" spans="1:17" x14ac:dyDescent="0.35">
      <c r="A104" t="s">
        <v>230</v>
      </c>
      <c r="B104">
        <v>1060</v>
      </c>
      <c r="C104" s="1">
        <v>45222</v>
      </c>
      <c r="D104" t="s">
        <v>231</v>
      </c>
      <c r="E104">
        <v>27</v>
      </c>
      <c r="F104" t="s">
        <v>31</v>
      </c>
      <c r="G104" t="s">
        <v>22</v>
      </c>
      <c r="H104" t="s">
        <v>23</v>
      </c>
      <c r="I104">
        <v>46</v>
      </c>
      <c r="J104" t="s">
        <v>45</v>
      </c>
      <c r="K104">
        <v>1747.05</v>
      </c>
      <c r="L104">
        <v>1830.27</v>
      </c>
      <c r="M104" t="s">
        <v>46</v>
      </c>
      <c r="N104" s="30">
        <v>0.15</v>
      </c>
      <c r="O104" t="s">
        <v>40</v>
      </c>
      <c r="P104" t="s">
        <v>34</v>
      </c>
      <c r="Q104" t="s">
        <v>28</v>
      </c>
    </row>
    <row r="105" spans="1:17" x14ac:dyDescent="0.35">
      <c r="A105" t="s">
        <v>232</v>
      </c>
      <c r="B105">
        <v>1041</v>
      </c>
      <c r="C105" s="1">
        <v>45246</v>
      </c>
      <c r="D105" t="s">
        <v>158</v>
      </c>
      <c r="E105">
        <v>56</v>
      </c>
      <c r="F105" t="s">
        <v>65</v>
      </c>
      <c r="G105" t="s">
        <v>54</v>
      </c>
      <c r="H105" t="s">
        <v>44</v>
      </c>
      <c r="I105">
        <v>40</v>
      </c>
      <c r="J105" t="s">
        <v>39</v>
      </c>
      <c r="K105">
        <v>601.86</v>
      </c>
      <c r="L105">
        <v>1067.53</v>
      </c>
      <c r="M105" t="s">
        <v>46</v>
      </c>
      <c r="N105" s="30">
        <v>0.18</v>
      </c>
      <c r="O105" t="s">
        <v>26</v>
      </c>
      <c r="P105" t="s">
        <v>34</v>
      </c>
      <c r="Q105" t="s">
        <v>28</v>
      </c>
    </row>
    <row r="106" spans="1:17" x14ac:dyDescent="0.35">
      <c r="A106" t="s">
        <v>233</v>
      </c>
      <c r="B106">
        <v>1029</v>
      </c>
      <c r="C106" s="1">
        <v>44986</v>
      </c>
      <c r="D106" t="s">
        <v>203</v>
      </c>
      <c r="E106">
        <v>34</v>
      </c>
      <c r="F106" t="s">
        <v>65</v>
      </c>
      <c r="G106" t="s">
        <v>81</v>
      </c>
      <c r="H106" t="s">
        <v>23</v>
      </c>
      <c r="I106">
        <v>28</v>
      </c>
      <c r="J106" t="s">
        <v>45</v>
      </c>
      <c r="K106">
        <v>2873.53</v>
      </c>
      <c r="L106">
        <v>3108.3</v>
      </c>
      <c r="M106" t="s">
        <v>46</v>
      </c>
      <c r="N106" s="30">
        <v>0.15</v>
      </c>
      <c r="O106" t="s">
        <v>47</v>
      </c>
      <c r="P106" t="s">
        <v>27</v>
      </c>
      <c r="Q106" t="s">
        <v>41</v>
      </c>
    </row>
    <row r="107" spans="1:17" x14ac:dyDescent="0.35">
      <c r="A107" t="s">
        <v>234</v>
      </c>
      <c r="B107">
        <v>1015</v>
      </c>
      <c r="C107" s="1">
        <v>45246</v>
      </c>
      <c r="D107" t="s">
        <v>235</v>
      </c>
      <c r="E107">
        <v>56</v>
      </c>
      <c r="F107" t="s">
        <v>65</v>
      </c>
      <c r="G107" t="s">
        <v>32</v>
      </c>
      <c r="H107" t="s">
        <v>23</v>
      </c>
      <c r="I107">
        <v>1</v>
      </c>
      <c r="J107" t="s">
        <v>24</v>
      </c>
      <c r="K107">
        <v>2928.74</v>
      </c>
      <c r="L107">
        <v>3027.74</v>
      </c>
      <c r="M107" t="s">
        <v>46</v>
      </c>
      <c r="N107" s="30">
        <v>0.15</v>
      </c>
      <c r="O107" t="s">
        <v>40</v>
      </c>
      <c r="P107" t="s">
        <v>27</v>
      </c>
      <c r="Q107" t="s">
        <v>28</v>
      </c>
    </row>
    <row r="108" spans="1:17" x14ac:dyDescent="0.35">
      <c r="A108" t="s">
        <v>236</v>
      </c>
      <c r="B108">
        <v>1045</v>
      </c>
      <c r="C108" s="1">
        <v>45275</v>
      </c>
      <c r="D108" t="s">
        <v>56</v>
      </c>
      <c r="E108">
        <v>39</v>
      </c>
      <c r="F108" t="s">
        <v>31</v>
      </c>
      <c r="G108" t="s">
        <v>38</v>
      </c>
      <c r="H108" t="s">
        <v>44</v>
      </c>
      <c r="I108">
        <v>42</v>
      </c>
      <c r="J108" t="s">
        <v>45</v>
      </c>
      <c r="K108">
        <v>3587.74</v>
      </c>
      <c r="L108">
        <v>4745.91</v>
      </c>
      <c r="M108" t="s">
        <v>25</v>
      </c>
      <c r="N108" s="30">
        <v>0.1</v>
      </c>
      <c r="O108" t="s">
        <v>26</v>
      </c>
      <c r="P108" t="s">
        <v>34</v>
      </c>
      <c r="Q108" t="s">
        <v>41</v>
      </c>
    </row>
    <row r="109" spans="1:17" x14ac:dyDescent="0.35">
      <c r="A109" t="s">
        <v>237</v>
      </c>
      <c r="B109">
        <v>1065</v>
      </c>
      <c r="C109" s="1">
        <v>45254</v>
      </c>
      <c r="D109" t="s">
        <v>145</v>
      </c>
      <c r="E109">
        <v>43</v>
      </c>
      <c r="F109" t="s">
        <v>100</v>
      </c>
      <c r="G109" t="s">
        <v>22</v>
      </c>
      <c r="H109" t="s">
        <v>23</v>
      </c>
      <c r="I109">
        <v>18</v>
      </c>
      <c r="J109" t="s">
        <v>39</v>
      </c>
      <c r="K109">
        <v>1239.0899999999999</v>
      </c>
      <c r="L109">
        <v>1273.98</v>
      </c>
      <c r="M109" t="s">
        <v>46</v>
      </c>
      <c r="N109" s="30">
        <v>0.02</v>
      </c>
      <c r="O109" t="s">
        <v>40</v>
      </c>
      <c r="P109" t="s">
        <v>34</v>
      </c>
      <c r="Q109" t="s">
        <v>35</v>
      </c>
    </row>
    <row r="110" spans="1:17" x14ac:dyDescent="0.35">
      <c r="A110" t="s">
        <v>238</v>
      </c>
      <c r="B110">
        <v>1089</v>
      </c>
      <c r="C110" s="1">
        <v>45193</v>
      </c>
      <c r="D110" t="s">
        <v>239</v>
      </c>
      <c r="E110">
        <v>61</v>
      </c>
      <c r="F110" t="s">
        <v>31</v>
      </c>
      <c r="G110" t="s">
        <v>38</v>
      </c>
      <c r="H110" t="s">
        <v>50</v>
      </c>
      <c r="I110">
        <v>48</v>
      </c>
      <c r="J110" t="s">
        <v>39</v>
      </c>
      <c r="K110">
        <v>2246.67</v>
      </c>
      <c r="L110">
        <v>2486.14</v>
      </c>
      <c r="M110" t="s">
        <v>46</v>
      </c>
      <c r="N110" s="30">
        <v>0.03</v>
      </c>
      <c r="O110" t="s">
        <v>26</v>
      </c>
      <c r="P110" t="s">
        <v>34</v>
      </c>
      <c r="Q110" t="s">
        <v>35</v>
      </c>
    </row>
    <row r="111" spans="1:17" x14ac:dyDescent="0.35">
      <c r="A111" t="s">
        <v>240</v>
      </c>
      <c r="B111">
        <v>1071</v>
      </c>
      <c r="C111" s="1">
        <v>45287</v>
      </c>
      <c r="D111" t="s">
        <v>241</v>
      </c>
      <c r="E111">
        <v>42</v>
      </c>
      <c r="F111" t="s">
        <v>31</v>
      </c>
      <c r="G111" t="s">
        <v>38</v>
      </c>
      <c r="H111" t="s">
        <v>23</v>
      </c>
      <c r="I111">
        <v>40</v>
      </c>
      <c r="J111" t="s">
        <v>39</v>
      </c>
      <c r="K111">
        <v>1447.72</v>
      </c>
      <c r="L111">
        <v>1875.75</v>
      </c>
      <c r="M111" t="s">
        <v>46</v>
      </c>
      <c r="N111" s="30">
        <v>0.13</v>
      </c>
      <c r="O111" t="s">
        <v>26</v>
      </c>
      <c r="P111" t="s">
        <v>34</v>
      </c>
      <c r="Q111" t="s">
        <v>41</v>
      </c>
    </row>
    <row r="112" spans="1:17" x14ac:dyDescent="0.35">
      <c r="A112" t="s">
        <v>242</v>
      </c>
      <c r="B112">
        <v>1009</v>
      </c>
      <c r="C112" s="1">
        <v>45155</v>
      </c>
      <c r="D112" t="s">
        <v>60</v>
      </c>
      <c r="E112">
        <v>34</v>
      </c>
      <c r="F112" t="s">
        <v>65</v>
      </c>
      <c r="G112" t="s">
        <v>81</v>
      </c>
      <c r="H112" t="s">
        <v>50</v>
      </c>
      <c r="I112">
        <v>33</v>
      </c>
      <c r="J112" t="s">
        <v>45</v>
      </c>
      <c r="K112">
        <v>450.72</v>
      </c>
      <c r="L112">
        <v>918.17</v>
      </c>
      <c r="M112" t="s">
        <v>25</v>
      </c>
      <c r="N112" s="30">
        <v>0.11</v>
      </c>
      <c r="O112" t="s">
        <v>26</v>
      </c>
      <c r="P112" t="s">
        <v>27</v>
      </c>
      <c r="Q112" t="s">
        <v>35</v>
      </c>
    </row>
    <row r="113" spans="1:17" x14ac:dyDescent="0.35">
      <c r="A113" t="s">
        <v>243</v>
      </c>
      <c r="B113">
        <v>1088</v>
      </c>
      <c r="C113" s="1">
        <v>45196</v>
      </c>
      <c r="D113" t="s">
        <v>244</v>
      </c>
      <c r="E113">
        <v>30</v>
      </c>
      <c r="F113" t="s">
        <v>54</v>
      </c>
      <c r="G113" t="s">
        <v>38</v>
      </c>
      <c r="H113" t="s">
        <v>50</v>
      </c>
      <c r="I113">
        <v>12</v>
      </c>
      <c r="J113" t="s">
        <v>45</v>
      </c>
      <c r="K113">
        <v>4389.24</v>
      </c>
      <c r="L113">
        <v>4856.22</v>
      </c>
      <c r="M113" t="s">
        <v>25</v>
      </c>
      <c r="N113" s="30">
        <v>0.15</v>
      </c>
      <c r="O113" t="s">
        <v>26</v>
      </c>
      <c r="P113" t="s">
        <v>34</v>
      </c>
      <c r="Q113" t="s">
        <v>28</v>
      </c>
    </row>
    <row r="114" spans="1:17" x14ac:dyDescent="0.35">
      <c r="A114" t="s">
        <v>245</v>
      </c>
      <c r="B114">
        <v>1001</v>
      </c>
      <c r="C114" s="1">
        <v>45242</v>
      </c>
      <c r="D114" t="s">
        <v>246</v>
      </c>
      <c r="E114">
        <v>37</v>
      </c>
      <c r="F114" t="s">
        <v>100</v>
      </c>
      <c r="G114" t="s">
        <v>32</v>
      </c>
      <c r="H114" t="s">
        <v>50</v>
      </c>
      <c r="I114">
        <v>8</v>
      </c>
      <c r="J114" t="s">
        <v>51</v>
      </c>
      <c r="K114">
        <v>3657.91</v>
      </c>
      <c r="L114">
        <v>3729.27</v>
      </c>
      <c r="M114" t="s">
        <v>46</v>
      </c>
      <c r="N114" s="30">
        <v>0.09</v>
      </c>
      <c r="O114" t="s">
        <v>40</v>
      </c>
      <c r="P114" t="s">
        <v>27</v>
      </c>
      <c r="Q114" t="s">
        <v>28</v>
      </c>
    </row>
    <row r="115" spans="1:17" x14ac:dyDescent="0.35">
      <c r="A115" t="s">
        <v>247</v>
      </c>
      <c r="B115">
        <v>1008</v>
      </c>
      <c r="C115" s="1">
        <v>45212</v>
      </c>
      <c r="D115" t="s">
        <v>248</v>
      </c>
      <c r="E115">
        <v>42</v>
      </c>
      <c r="F115" t="s">
        <v>65</v>
      </c>
      <c r="G115" t="s">
        <v>38</v>
      </c>
      <c r="H115" t="s">
        <v>33</v>
      </c>
      <c r="I115">
        <v>24</v>
      </c>
      <c r="J115" t="s">
        <v>51</v>
      </c>
      <c r="K115">
        <v>1542.24</v>
      </c>
      <c r="L115">
        <v>1739.45</v>
      </c>
      <c r="M115" t="s">
        <v>25</v>
      </c>
      <c r="N115" s="30">
        <v>0.21</v>
      </c>
      <c r="O115" t="s">
        <v>40</v>
      </c>
      <c r="P115" t="s">
        <v>34</v>
      </c>
      <c r="Q115" t="s">
        <v>28</v>
      </c>
    </row>
    <row r="116" spans="1:17" x14ac:dyDescent="0.35">
      <c r="A116" t="s">
        <v>249</v>
      </c>
      <c r="B116">
        <v>1088</v>
      </c>
      <c r="C116" s="1">
        <v>45217</v>
      </c>
      <c r="D116" t="s">
        <v>250</v>
      </c>
      <c r="E116">
        <v>21</v>
      </c>
      <c r="F116" t="s">
        <v>54</v>
      </c>
      <c r="G116" t="s">
        <v>81</v>
      </c>
      <c r="H116" t="s">
        <v>23</v>
      </c>
      <c r="I116">
        <v>16</v>
      </c>
      <c r="J116" t="s">
        <v>24</v>
      </c>
      <c r="K116">
        <v>3016.9</v>
      </c>
      <c r="L116">
        <v>4140.7299999999996</v>
      </c>
      <c r="M116" t="s">
        <v>46</v>
      </c>
      <c r="N116" s="30">
        <v>0.26</v>
      </c>
      <c r="O116" t="s">
        <v>40</v>
      </c>
      <c r="P116" t="s">
        <v>34</v>
      </c>
      <c r="Q116" t="s">
        <v>35</v>
      </c>
    </row>
    <row r="117" spans="1:17" x14ac:dyDescent="0.35">
      <c r="A117" t="s">
        <v>251</v>
      </c>
      <c r="B117">
        <v>1063</v>
      </c>
      <c r="C117" s="1">
        <v>45139</v>
      </c>
      <c r="D117" t="s">
        <v>252</v>
      </c>
      <c r="E117">
        <v>27</v>
      </c>
      <c r="F117" t="s">
        <v>54</v>
      </c>
      <c r="G117" t="s">
        <v>32</v>
      </c>
      <c r="H117" t="s">
        <v>44</v>
      </c>
      <c r="I117">
        <v>4</v>
      </c>
      <c r="J117" t="s">
        <v>51</v>
      </c>
      <c r="K117">
        <v>1046.26</v>
      </c>
      <c r="L117">
        <v>1475.29</v>
      </c>
      <c r="M117" t="s">
        <v>25</v>
      </c>
      <c r="N117" s="30">
        <v>0.09</v>
      </c>
      <c r="O117" t="s">
        <v>40</v>
      </c>
      <c r="P117" t="s">
        <v>34</v>
      </c>
      <c r="Q117" t="s">
        <v>28</v>
      </c>
    </row>
    <row r="118" spans="1:17" x14ac:dyDescent="0.35">
      <c r="A118" t="s">
        <v>253</v>
      </c>
      <c r="B118">
        <v>1011</v>
      </c>
      <c r="C118" s="1">
        <v>45091</v>
      </c>
      <c r="D118" t="s">
        <v>254</v>
      </c>
      <c r="E118">
        <v>20</v>
      </c>
      <c r="F118" t="s">
        <v>21</v>
      </c>
      <c r="G118" t="s">
        <v>54</v>
      </c>
      <c r="H118" t="s">
        <v>44</v>
      </c>
      <c r="I118">
        <v>38</v>
      </c>
      <c r="J118" t="s">
        <v>24</v>
      </c>
      <c r="K118">
        <v>4456.67</v>
      </c>
      <c r="L118">
        <v>4642.46</v>
      </c>
      <c r="M118" t="s">
        <v>46</v>
      </c>
      <c r="N118" s="30">
        <v>0.06</v>
      </c>
      <c r="O118" t="s">
        <v>40</v>
      </c>
      <c r="P118" t="s">
        <v>27</v>
      </c>
      <c r="Q118" t="s">
        <v>35</v>
      </c>
    </row>
    <row r="119" spans="1:17" x14ac:dyDescent="0.35">
      <c r="A119" t="s">
        <v>255</v>
      </c>
      <c r="B119">
        <v>1081</v>
      </c>
      <c r="C119" s="1">
        <v>44931</v>
      </c>
      <c r="D119" t="s">
        <v>143</v>
      </c>
      <c r="E119">
        <v>58</v>
      </c>
      <c r="F119" t="s">
        <v>100</v>
      </c>
      <c r="G119" t="s">
        <v>38</v>
      </c>
      <c r="H119" t="s">
        <v>23</v>
      </c>
      <c r="I119">
        <v>44</v>
      </c>
      <c r="J119" t="s">
        <v>39</v>
      </c>
      <c r="K119">
        <v>618.79</v>
      </c>
      <c r="L119">
        <v>938.04</v>
      </c>
      <c r="M119" t="s">
        <v>25</v>
      </c>
      <c r="N119" s="30">
        <v>0.03</v>
      </c>
      <c r="O119" t="s">
        <v>26</v>
      </c>
      <c r="P119" t="s">
        <v>27</v>
      </c>
      <c r="Q119" t="s">
        <v>28</v>
      </c>
    </row>
    <row r="120" spans="1:17" x14ac:dyDescent="0.35">
      <c r="A120" t="s">
        <v>256</v>
      </c>
      <c r="B120">
        <v>1008</v>
      </c>
      <c r="C120" s="1">
        <v>45265</v>
      </c>
      <c r="D120" t="s">
        <v>20</v>
      </c>
      <c r="E120">
        <v>62</v>
      </c>
      <c r="F120" t="s">
        <v>54</v>
      </c>
      <c r="G120" t="s">
        <v>81</v>
      </c>
      <c r="H120" t="s">
        <v>33</v>
      </c>
      <c r="I120">
        <v>27</v>
      </c>
      <c r="J120" t="s">
        <v>51</v>
      </c>
      <c r="K120">
        <v>68.989999999999995</v>
      </c>
      <c r="L120">
        <v>429.29</v>
      </c>
      <c r="M120" t="s">
        <v>25</v>
      </c>
      <c r="N120" s="30">
        <v>0.18</v>
      </c>
      <c r="O120" t="s">
        <v>47</v>
      </c>
      <c r="P120" t="s">
        <v>34</v>
      </c>
      <c r="Q120" t="s">
        <v>41</v>
      </c>
    </row>
    <row r="121" spans="1:17" x14ac:dyDescent="0.35">
      <c r="A121" t="s">
        <v>257</v>
      </c>
      <c r="B121">
        <v>1035</v>
      </c>
      <c r="C121" s="1">
        <v>45004</v>
      </c>
      <c r="D121" t="s">
        <v>150</v>
      </c>
      <c r="E121">
        <v>35</v>
      </c>
      <c r="F121" t="s">
        <v>65</v>
      </c>
      <c r="G121" t="s">
        <v>54</v>
      </c>
      <c r="H121" t="s">
        <v>33</v>
      </c>
      <c r="I121">
        <v>9</v>
      </c>
      <c r="J121" t="s">
        <v>45</v>
      </c>
      <c r="K121">
        <v>2534.94</v>
      </c>
      <c r="L121">
        <v>2755.56</v>
      </c>
      <c r="M121" t="s">
        <v>25</v>
      </c>
      <c r="N121" s="30">
        <v>0.13</v>
      </c>
      <c r="O121" t="s">
        <v>47</v>
      </c>
      <c r="P121" t="s">
        <v>27</v>
      </c>
      <c r="Q121" t="s">
        <v>35</v>
      </c>
    </row>
    <row r="122" spans="1:17" x14ac:dyDescent="0.35">
      <c r="A122" t="s">
        <v>258</v>
      </c>
      <c r="B122">
        <v>1035</v>
      </c>
      <c r="C122" s="1">
        <v>44988</v>
      </c>
      <c r="D122" t="s">
        <v>70</v>
      </c>
      <c r="E122">
        <v>64</v>
      </c>
      <c r="F122" t="s">
        <v>21</v>
      </c>
      <c r="G122" t="s">
        <v>54</v>
      </c>
      <c r="H122" t="s">
        <v>50</v>
      </c>
      <c r="I122">
        <v>47</v>
      </c>
      <c r="J122" t="s">
        <v>51</v>
      </c>
      <c r="K122">
        <v>2936.48</v>
      </c>
      <c r="L122">
        <v>3096.64</v>
      </c>
      <c r="M122" t="s">
        <v>46</v>
      </c>
      <c r="N122" s="30">
        <v>0.06</v>
      </c>
      <c r="O122" t="s">
        <v>40</v>
      </c>
      <c r="P122" t="s">
        <v>27</v>
      </c>
      <c r="Q122" t="s">
        <v>35</v>
      </c>
    </row>
    <row r="123" spans="1:17" x14ac:dyDescent="0.35">
      <c r="A123" t="s">
        <v>259</v>
      </c>
      <c r="B123">
        <v>1033</v>
      </c>
      <c r="C123" s="1">
        <v>45058</v>
      </c>
      <c r="D123" t="s">
        <v>260</v>
      </c>
      <c r="E123">
        <v>53</v>
      </c>
      <c r="F123" t="s">
        <v>100</v>
      </c>
      <c r="G123" t="s">
        <v>22</v>
      </c>
      <c r="H123" t="s">
        <v>23</v>
      </c>
      <c r="I123">
        <v>16</v>
      </c>
      <c r="J123" t="s">
        <v>24</v>
      </c>
      <c r="K123">
        <v>2915.88</v>
      </c>
      <c r="L123">
        <v>3397.36</v>
      </c>
      <c r="M123" t="s">
        <v>46</v>
      </c>
      <c r="N123" s="30">
        <v>0.2</v>
      </c>
      <c r="O123" t="s">
        <v>40</v>
      </c>
      <c r="P123" t="s">
        <v>34</v>
      </c>
      <c r="Q123" t="s">
        <v>28</v>
      </c>
    </row>
    <row r="124" spans="1:17" x14ac:dyDescent="0.35">
      <c r="A124" t="s">
        <v>261</v>
      </c>
      <c r="B124">
        <v>1005</v>
      </c>
      <c r="C124" s="1">
        <v>45015</v>
      </c>
      <c r="D124" t="s">
        <v>262</v>
      </c>
      <c r="E124">
        <v>64</v>
      </c>
      <c r="F124" t="s">
        <v>31</v>
      </c>
      <c r="G124" t="s">
        <v>32</v>
      </c>
      <c r="H124" t="s">
        <v>23</v>
      </c>
      <c r="I124">
        <v>12</v>
      </c>
      <c r="J124" t="s">
        <v>51</v>
      </c>
      <c r="K124">
        <v>319.83</v>
      </c>
      <c r="L124">
        <v>802.43</v>
      </c>
      <c r="M124" t="s">
        <v>46</v>
      </c>
      <c r="N124" s="30">
        <v>0.04</v>
      </c>
      <c r="O124" t="s">
        <v>47</v>
      </c>
      <c r="P124" t="s">
        <v>34</v>
      </c>
      <c r="Q124" t="s">
        <v>35</v>
      </c>
    </row>
    <row r="125" spans="1:17" x14ac:dyDescent="0.35">
      <c r="A125" t="s">
        <v>263</v>
      </c>
      <c r="B125">
        <v>1041</v>
      </c>
      <c r="C125" s="1">
        <v>45163</v>
      </c>
      <c r="D125" t="s">
        <v>264</v>
      </c>
      <c r="E125">
        <v>39</v>
      </c>
      <c r="F125" t="s">
        <v>65</v>
      </c>
      <c r="G125" t="s">
        <v>38</v>
      </c>
      <c r="H125" t="s">
        <v>44</v>
      </c>
      <c r="I125">
        <v>31</v>
      </c>
      <c r="J125" t="s">
        <v>39</v>
      </c>
      <c r="K125">
        <v>1604.52</v>
      </c>
      <c r="L125">
        <v>1756.34</v>
      </c>
      <c r="M125" t="s">
        <v>25</v>
      </c>
      <c r="N125" s="30">
        <v>0.17</v>
      </c>
      <c r="O125" t="s">
        <v>26</v>
      </c>
      <c r="P125" t="s">
        <v>27</v>
      </c>
      <c r="Q125" t="s">
        <v>35</v>
      </c>
    </row>
    <row r="126" spans="1:17" x14ac:dyDescent="0.35">
      <c r="A126" t="s">
        <v>265</v>
      </c>
      <c r="B126">
        <v>1028</v>
      </c>
      <c r="C126" s="1">
        <v>44968</v>
      </c>
      <c r="D126" t="s">
        <v>266</v>
      </c>
      <c r="E126">
        <v>51</v>
      </c>
      <c r="F126" t="s">
        <v>54</v>
      </c>
      <c r="G126" t="s">
        <v>81</v>
      </c>
      <c r="H126" t="s">
        <v>23</v>
      </c>
      <c r="I126">
        <v>24</v>
      </c>
      <c r="J126" t="s">
        <v>45</v>
      </c>
      <c r="K126">
        <v>2521.0300000000002</v>
      </c>
      <c r="L126">
        <v>2766.05</v>
      </c>
      <c r="M126" t="s">
        <v>25</v>
      </c>
      <c r="N126" s="30">
        <v>0.16</v>
      </c>
      <c r="O126" t="s">
        <v>40</v>
      </c>
      <c r="P126" t="s">
        <v>27</v>
      </c>
      <c r="Q126" t="s">
        <v>41</v>
      </c>
    </row>
    <row r="127" spans="1:17" x14ac:dyDescent="0.35">
      <c r="A127" t="s">
        <v>267</v>
      </c>
      <c r="B127">
        <v>1007</v>
      </c>
      <c r="C127" s="1">
        <v>45015</v>
      </c>
      <c r="D127" t="s">
        <v>139</v>
      </c>
      <c r="E127">
        <v>64</v>
      </c>
      <c r="F127" t="s">
        <v>54</v>
      </c>
      <c r="G127" t="s">
        <v>22</v>
      </c>
      <c r="H127" t="s">
        <v>33</v>
      </c>
      <c r="I127">
        <v>14</v>
      </c>
      <c r="J127" t="s">
        <v>24</v>
      </c>
      <c r="K127">
        <v>1122.07</v>
      </c>
      <c r="L127">
        <v>1608.76</v>
      </c>
      <c r="M127" t="s">
        <v>46</v>
      </c>
      <c r="N127" s="30">
        <v>0.22</v>
      </c>
      <c r="O127" t="s">
        <v>26</v>
      </c>
      <c r="P127" t="s">
        <v>27</v>
      </c>
      <c r="Q127" t="s">
        <v>41</v>
      </c>
    </row>
    <row r="128" spans="1:17" x14ac:dyDescent="0.35">
      <c r="A128" t="s">
        <v>268</v>
      </c>
      <c r="B128">
        <v>1073</v>
      </c>
      <c r="C128" s="1">
        <v>45222</v>
      </c>
      <c r="D128" t="s">
        <v>127</v>
      </c>
      <c r="E128">
        <v>25</v>
      </c>
      <c r="F128" t="s">
        <v>65</v>
      </c>
      <c r="G128" t="s">
        <v>32</v>
      </c>
      <c r="H128" t="s">
        <v>23</v>
      </c>
      <c r="I128">
        <v>45</v>
      </c>
      <c r="J128" t="s">
        <v>45</v>
      </c>
      <c r="K128">
        <v>4369.5</v>
      </c>
      <c r="L128">
        <v>4381.8900000000003</v>
      </c>
      <c r="M128" t="s">
        <v>25</v>
      </c>
      <c r="N128" s="30">
        <v>0.02</v>
      </c>
      <c r="O128" t="s">
        <v>47</v>
      </c>
      <c r="P128" t="s">
        <v>34</v>
      </c>
      <c r="Q128" t="s">
        <v>28</v>
      </c>
    </row>
    <row r="129" spans="1:17" x14ac:dyDescent="0.35">
      <c r="A129" t="s">
        <v>269</v>
      </c>
      <c r="B129">
        <v>1072</v>
      </c>
      <c r="C129" s="1">
        <v>45254</v>
      </c>
      <c r="D129" t="s">
        <v>270</v>
      </c>
      <c r="E129">
        <v>57</v>
      </c>
      <c r="F129" t="s">
        <v>54</v>
      </c>
      <c r="G129" t="s">
        <v>22</v>
      </c>
      <c r="H129" t="s">
        <v>44</v>
      </c>
      <c r="I129">
        <v>25</v>
      </c>
      <c r="J129" t="s">
        <v>45</v>
      </c>
      <c r="K129">
        <v>481.19</v>
      </c>
      <c r="L129">
        <v>693.4</v>
      </c>
      <c r="M129" t="s">
        <v>46</v>
      </c>
      <c r="N129" s="30">
        <v>0.27</v>
      </c>
      <c r="O129" t="s">
        <v>47</v>
      </c>
      <c r="P129" t="s">
        <v>34</v>
      </c>
      <c r="Q129" t="s">
        <v>41</v>
      </c>
    </row>
    <row r="130" spans="1:17" x14ac:dyDescent="0.35">
      <c r="A130" t="s">
        <v>271</v>
      </c>
      <c r="B130">
        <v>1012</v>
      </c>
      <c r="C130" s="1">
        <v>45221</v>
      </c>
      <c r="D130" t="s">
        <v>272</v>
      </c>
      <c r="E130">
        <v>61</v>
      </c>
      <c r="F130" t="s">
        <v>21</v>
      </c>
      <c r="G130" t="s">
        <v>32</v>
      </c>
      <c r="H130" t="s">
        <v>50</v>
      </c>
      <c r="I130">
        <v>34</v>
      </c>
      <c r="J130" t="s">
        <v>24</v>
      </c>
      <c r="K130">
        <v>2462.5500000000002</v>
      </c>
      <c r="L130">
        <v>2521.77</v>
      </c>
      <c r="M130" t="s">
        <v>46</v>
      </c>
      <c r="N130" s="30">
        <v>0.21</v>
      </c>
      <c r="O130" t="s">
        <v>40</v>
      </c>
      <c r="P130" t="s">
        <v>27</v>
      </c>
      <c r="Q130" t="s">
        <v>28</v>
      </c>
    </row>
    <row r="131" spans="1:17" x14ac:dyDescent="0.35">
      <c r="A131" t="s">
        <v>273</v>
      </c>
      <c r="B131">
        <v>1034</v>
      </c>
      <c r="C131" s="1">
        <v>45030</v>
      </c>
      <c r="D131" t="s">
        <v>274</v>
      </c>
      <c r="E131">
        <v>36</v>
      </c>
      <c r="F131" t="s">
        <v>100</v>
      </c>
      <c r="G131" t="s">
        <v>32</v>
      </c>
      <c r="H131" t="s">
        <v>44</v>
      </c>
      <c r="I131">
        <v>3</v>
      </c>
      <c r="J131" t="s">
        <v>45</v>
      </c>
      <c r="K131">
        <v>3472.51</v>
      </c>
      <c r="L131">
        <v>3732</v>
      </c>
      <c r="M131" t="s">
        <v>46</v>
      </c>
      <c r="N131" s="30">
        <v>0.06</v>
      </c>
      <c r="O131" t="s">
        <v>26</v>
      </c>
      <c r="P131" t="s">
        <v>34</v>
      </c>
      <c r="Q131" t="s">
        <v>28</v>
      </c>
    </row>
    <row r="132" spans="1:17" x14ac:dyDescent="0.35">
      <c r="A132" t="s">
        <v>275</v>
      </c>
      <c r="B132">
        <v>1033</v>
      </c>
      <c r="C132" s="1">
        <v>44940</v>
      </c>
      <c r="D132" t="s">
        <v>76</v>
      </c>
      <c r="E132">
        <v>59</v>
      </c>
      <c r="F132" t="s">
        <v>21</v>
      </c>
      <c r="G132" t="s">
        <v>38</v>
      </c>
      <c r="H132" t="s">
        <v>44</v>
      </c>
      <c r="I132">
        <v>24</v>
      </c>
      <c r="J132" t="s">
        <v>45</v>
      </c>
      <c r="K132">
        <v>1345.67</v>
      </c>
      <c r="L132">
        <v>1367.76</v>
      </c>
      <c r="M132" t="s">
        <v>46</v>
      </c>
      <c r="N132" s="30">
        <v>0.06</v>
      </c>
      <c r="O132" t="s">
        <v>40</v>
      </c>
      <c r="P132" t="s">
        <v>34</v>
      </c>
      <c r="Q132" t="s">
        <v>28</v>
      </c>
    </row>
    <row r="133" spans="1:17" x14ac:dyDescent="0.35">
      <c r="A133" t="s">
        <v>276</v>
      </c>
      <c r="B133">
        <v>1048</v>
      </c>
      <c r="C133" s="1">
        <v>45214</v>
      </c>
      <c r="D133" t="s">
        <v>277</v>
      </c>
      <c r="E133">
        <v>58</v>
      </c>
      <c r="F133" t="s">
        <v>54</v>
      </c>
      <c r="G133" t="s">
        <v>32</v>
      </c>
      <c r="H133" t="s">
        <v>50</v>
      </c>
      <c r="I133">
        <v>42</v>
      </c>
      <c r="J133" t="s">
        <v>51</v>
      </c>
      <c r="K133">
        <v>3139.99</v>
      </c>
      <c r="L133">
        <v>3349.37</v>
      </c>
      <c r="M133" t="s">
        <v>25</v>
      </c>
      <c r="N133" s="30">
        <v>0.13</v>
      </c>
      <c r="O133" t="s">
        <v>47</v>
      </c>
      <c r="P133" t="s">
        <v>27</v>
      </c>
      <c r="Q133" t="s">
        <v>35</v>
      </c>
    </row>
    <row r="134" spans="1:17" x14ac:dyDescent="0.35">
      <c r="A134" t="s">
        <v>278</v>
      </c>
      <c r="B134">
        <v>1023</v>
      </c>
      <c r="C134" s="1">
        <v>45105</v>
      </c>
      <c r="D134" t="s">
        <v>60</v>
      </c>
      <c r="E134">
        <v>54</v>
      </c>
      <c r="F134" t="s">
        <v>31</v>
      </c>
      <c r="G134" t="s">
        <v>22</v>
      </c>
      <c r="H134" t="s">
        <v>44</v>
      </c>
      <c r="I134">
        <v>9</v>
      </c>
      <c r="J134" t="s">
        <v>45</v>
      </c>
      <c r="K134">
        <v>4155.46</v>
      </c>
      <c r="L134">
        <v>4273.6000000000004</v>
      </c>
      <c r="M134" t="s">
        <v>25</v>
      </c>
      <c r="N134" s="30">
        <v>0.25</v>
      </c>
      <c r="O134" t="s">
        <v>26</v>
      </c>
      <c r="P134" t="s">
        <v>27</v>
      </c>
      <c r="Q134" t="s">
        <v>41</v>
      </c>
    </row>
    <row r="135" spans="1:17" x14ac:dyDescent="0.35">
      <c r="A135" t="s">
        <v>279</v>
      </c>
      <c r="B135">
        <v>1062</v>
      </c>
      <c r="C135" s="1">
        <v>45051</v>
      </c>
      <c r="D135" t="s">
        <v>112</v>
      </c>
      <c r="E135">
        <v>23</v>
      </c>
      <c r="F135" t="s">
        <v>100</v>
      </c>
      <c r="G135" t="s">
        <v>32</v>
      </c>
      <c r="H135" t="s">
        <v>44</v>
      </c>
      <c r="I135">
        <v>26</v>
      </c>
      <c r="J135" t="s">
        <v>45</v>
      </c>
      <c r="K135">
        <v>992.17</v>
      </c>
      <c r="L135">
        <v>1263.49</v>
      </c>
      <c r="M135" t="s">
        <v>25</v>
      </c>
      <c r="N135" s="30">
        <v>0.25</v>
      </c>
      <c r="O135" t="s">
        <v>40</v>
      </c>
      <c r="P135" t="s">
        <v>34</v>
      </c>
      <c r="Q135" t="s">
        <v>28</v>
      </c>
    </row>
    <row r="136" spans="1:17" x14ac:dyDescent="0.35">
      <c r="A136" t="s">
        <v>280</v>
      </c>
      <c r="B136">
        <v>1088</v>
      </c>
      <c r="C136" s="1">
        <v>45279</v>
      </c>
      <c r="D136" t="s">
        <v>121</v>
      </c>
      <c r="E136">
        <v>43</v>
      </c>
      <c r="F136" t="s">
        <v>100</v>
      </c>
      <c r="G136" t="s">
        <v>38</v>
      </c>
      <c r="H136" t="s">
        <v>23</v>
      </c>
      <c r="I136">
        <v>20</v>
      </c>
      <c r="J136" t="s">
        <v>45</v>
      </c>
      <c r="K136">
        <v>4590.24</v>
      </c>
      <c r="L136">
        <v>5088.28</v>
      </c>
      <c r="M136" t="s">
        <v>46</v>
      </c>
      <c r="N136" s="30">
        <v>0.16</v>
      </c>
      <c r="O136" t="s">
        <v>40</v>
      </c>
      <c r="P136" t="s">
        <v>34</v>
      </c>
      <c r="Q136" t="s">
        <v>41</v>
      </c>
    </row>
    <row r="137" spans="1:17" x14ac:dyDescent="0.35">
      <c r="A137" t="s">
        <v>281</v>
      </c>
      <c r="B137">
        <v>1037</v>
      </c>
      <c r="C137" s="1">
        <v>44949</v>
      </c>
      <c r="D137" t="s">
        <v>282</v>
      </c>
      <c r="E137">
        <v>51</v>
      </c>
      <c r="F137" t="s">
        <v>65</v>
      </c>
      <c r="G137" t="s">
        <v>38</v>
      </c>
      <c r="H137" t="s">
        <v>23</v>
      </c>
      <c r="I137">
        <v>40</v>
      </c>
      <c r="J137" t="s">
        <v>45</v>
      </c>
      <c r="K137">
        <v>2790.11</v>
      </c>
      <c r="L137">
        <v>4192.37</v>
      </c>
      <c r="M137" t="s">
        <v>25</v>
      </c>
      <c r="N137" s="30">
        <v>0.26</v>
      </c>
      <c r="O137" t="s">
        <v>40</v>
      </c>
      <c r="P137" t="s">
        <v>27</v>
      </c>
      <c r="Q137" t="s">
        <v>28</v>
      </c>
    </row>
    <row r="138" spans="1:17" x14ac:dyDescent="0.35">
      <c r="A138" t="s">
        <v>283</v>
      </c>
      <c r="B138">
        <v>1099</v>
      </c>
      <c r="C138" s="1">
        <v>44989</v>
      </c>
      <c r="D138" t="s">
        <v>119</v>
      </c>
      <c r="E138">
        <v>62</v>
      </c>
      <c r="F138" t="s">
        <v>65</v>
      </c>
      <c r="G138" t="s">
        <v>22</v>
      </c>
      <c r="H138" t="s">
        <v>50</v>
      </c>
      <c r="I138">
        <v>10</v>
      </c>
      <c r="J138" t="s">
        <v>24</v>
      </c>
      <c r="K138">
        <v>1531.2</v>
      </c>
      <c r="L138">
        <v>1955.56</v>
      </c>
      <c r="M138" t="s">
        <v>46</v>
      </c>
      <c r="N138" s="30">
        <v>0</v>
      </c>
      <c r="O138" t="s">
        <v>47</v>
      </c>
      <c r="P138" t="s">
        <v>34</v>
      </c>
      <c r="Q138" t="s">
        <v>41</v>
      </c>
    </row>
    <row r="139" spans="1:17" x14ac:dyDescent="0.35">
      <c r="A139" t="s">
        <v>284</v>
      </c>
      <c r="B139">
        <v>1044</v>
      </c>
      <c r="C139" s="1">
        <v>45069</v>
      </c>
      <c r="D139" t="s">
        <v>60</v>
      </c>
      <c r="E139">
        <v>23</v>
      </c>
      <c r="F139" t="s">
        <v>31</v>
      </c>
      <c r="G139" t="s">
        <v>54</v>
      </c>
      <c r="H139" t="s">
        <v>23</v>
      </c>
      <c r="I139">
        <v>19</v>
      </c>
      <c r="J139" t="s">
        <v>39</v>
      </c>
      <c r="K139">
        <v>2182.75</v>
      </c>
      <c r="L139">
        <v>2504.0300000000002</v>
      </c>
      <c r="M139" t="s">
        <v>46</v>
      </c>
      <c r="N139" s="30">
        <v>0.01</v>
      </c>
      <c r="O139" t="s">
        <v>40</v>
      </c>
      <c r="P139" t="s">
        <v>34</v>
      </c>
      <c r="Q139" t="s">
        <v>41</v>
      </c>
    </row>
    <row r="140" spans="1:17" x14ac:dyDescent="0.35">
      <c r="A140" t="s">
        <v>285</v>
      </c>
      <c r="B140">
        <v>1086</v>
      </c>
      <c r="C140" s="1">
        <v>45079</v>
      </c>
      <c r="D140" t="s">
        <v>106</v>
      </c>
      <c r="E140">
        <v>54</v>
      </c>
      <c r="F140" t="s">
        <v>100</v>
      </c>
      <c r="G140" t="s">
        <v>54</v>
      </c>
      <c r="H140" t="s">
        <v>23</v>
      </c>
      <c r="I140">
        <v>3</v>
      </c>
      <c r="J140" t="s">
        <v>51</v>
      </c>
      <c r="K140">
        <v>1595.35</v>
      </c>
      <c r="L140">
        <v>1625.71</v>
      </c>
      <c r="M140" t="s">
        <v>46</v>
      </c>
      <c r="N140" s="30">
        <v>0.27</v>
      </c>
      <c r="O140" t="s">
        <v>26</v>
      </c>
      <c r="P140" t="s">
        <v>27</v>
      </c>
      <c r="Q140" t="s">
        <v>28</v>
      </c>
    </row>
    <row r="141" spans="1:17" x14ac:dyDescent="0.35">
      <c r="A141" t="s">
        <v>286</v>
      </c>
      <c r="B141">
        <v>1091</v>
      </c>
      <c r="C141" s="1">
        <v>45071</v>
      </c>
      <c r="D141" t="s">
        <v>287</v>
      </c>
      <c r="E141">
        <v>50</v>
      </c>
      <c r="F141" t="s">
        <v>31</v>
      </c>
      <c r="G141" t="s">
        <v>32</v>
      </c>
      <c r="H141" t="s">
        <v>44</v>
      </c>
      <c r="I141">
        <v>24</v>
      </c>
      <c r="J141" t="s">
        <v>45</v>
      </c>
      <c r="K141">
        <v>3639.3</v>
      </c>
      <c r="L141">
        <v>3750.63</v>
      </c>
      <c r="M141" t="s">
        <v>46</v>
      </c>
      <c r="N141" s="30">
        <v>0.23</v>
      </c>
      <c r="O141" t="s">
        <v>40</v>
      </c>
      <c r="P141" t="s">
        <v>27</v>
      </c>
      <c r="Q141" t="s">
        <v>35</v>
      </c>
    </row>
    <row r="142" spans="1:17" x14ac:dyDescent="0.35">
      <c r="A142" t="s">
        <v>288</v>
      </c>
      <c r="B142">
        <v>1035</v>
      </c>
      <c r="C142" s="1">
        <v>45151</v>
      </c>
      <c r="D142" t="s">
        <v>289</v>
      </c>
      <c r="E142">
        <v>39</v>
      </c>
      <c r="F142" t="s">
        <v>65</v>
      </c>
      <c r="G142" t="s">
        <v>81</v>
      </c>
      <c r="H142" t="s">
        <v>33</v>
      </c>
      <c r="I142">
        <v>5</v>
      </c>
      <c r="J142" t="s">
        <v>45</v>
      </c>
      <c r="K142">
        <v>3991.69</v>
      </c>
      <c r="L142">
        <v>4454.97</v>
      </c>
      <c r="M142" t="s">
        <v>46</v>
      </c>
      <c r="N142" s="30">
        <v>0.14000000000000001</v>
      </c>
      <c r="O142" t="s">
        <v>47</v>
      </c>
      <c r="P142" t="s">
        <v>34</v>
      </c>
      <c r="Q142" t="s">
        <v>41</v>
      </c>
    </row>
    <row r="143" spans="1:17" x14ac:dyDescent="0.35">
      <c r="A143" t="s">
        <v>290</v>
      </c>
      <c r="B143">
        <v>1065</v>
      </c>
      <c r="C143" s="1">
        <v>45235</v>
      </c>
      <c r="D143" t="s">
        <v>95</v>
      </c>
      <c r="E143">
        <v>38</v>
      </c>
      <c r="F143" t="s">
        <v>65</v>
      </c>
      <c r="G143" t="s">
        <v>32</v>
      </c>
      <c r="H143" t="s">
        <v>23</v>
      </c>
      <c r="I143">
        <v>3</v>
      </c>
      <c r="J143" t="s">
        <v>24</v>
      </c>
      <c r="K143">
        <v>4173.04</v>
      </c>
      <c r="L143">
        <v>4362.4399999999996</v>
      </c>
      <c r="M143" t="s">
        <v>46</v>
      </c>
      <c r="N143" s="30">
        <v>0.23</v>
      </c>
      <c r="O143" t="s">
        <v>40</v>
      </c>
      <c r="P143" t="s">
        <v>34</v>
      </c>
      <c r="Q143" t="s">
        <v>35</v>
      </c>
    </row>
    <row r="144" spans="1:17" x14ac:dyDescent="0.35">
      <c r="A144" t="s">
        <v>291</v>
      </c>
      <c r="B144">
        <v>1099</v>
      </c>
      <c r="C144" s="1">
        <v>45030</v>
      </c>
      <c r="D144" t="s">
        <v>292</v>
      </c>
      <c r="E144">
        <v>23</v>
      </c>
      <c r="F144" t="s">
        <v>100</v>
      </c>
      <c r="G144" t="s">
        <v>22</v>
      </c>
      <c r="H144" t="s">
        <v>33</v>
      </c>
      <c r="I144">
        <v>27</v>
      </c>
      <c r="J144" t="s">
        <v>39</v>
      </c>
      <c r="K144">
        <v>4929.55</v>
      </c>
      <c r="L144">
        <v>6990.33</v>
      </c>
      <c r="M144" t="s">
        <v>25</v>
      </c>
      <c r="N144" s="30">
        <v>0.28999999999999998</v>
      </c>
      <c r="O144" t="s">
        <v>47</v>
      </c>
      <c r="P144" t="s">
        <v>34</v>
      </c>
      <c r="Q144" t="s">
        <v>35</v>
      </c>
    </row>
    <row r="145" spans="1:17" x14ac:dyDescent="0.35">
      <c r="A145" t="s">
        <v>293</v>
      </c>
      <c r="B145">
        <v>1047</v>
      </c>
      <c r="C145" s="1">
        <v>45030</v>
      </c>
      <c r="D145" t="s">
        <v>294</v>
      </c>
      <c r="E145">
        <v>23</v>
      </c>
      <c r="F145" t="s">
        <v>21</v>
      </c>
      <c r="G145" t="s">
        <v>22</v>
      </c>
      <c r="H145" t="s">
        <v>23</v>
      </c>
      <c r="I145">
        <v>16</v>
      </c>
      <c r="J145" t="s">
        <v>45</v>
      </c>
      <c r="K145">
        <v>3966.86</v>
      </c>
      <c r="L145">
        <v>5321.04</v>
      </c>
      <c r="M145" t="s">
        <v>25</v>
      </c>
      <c r="N145" s="30">
        <v>0.23</v>
      </c>
      <c r="O145" t="s">
        <v>47</v>
      </c>
      <c r="P145" t="s">
        <v>27</v>
      </c>
      <c r="Q145" t="s">
        <v>28</v>
      </c>
    </row>
    <row r="146" spans="1:17" x14ac:dyDescent="0.35">
      <c r="A146" t="s">
        <v>295</v>
      </c>
      <c r="B146">
        <v>1078</v>
      </c>
      <c r="C146" s="1">
        <v>44965</v>
      </c>
      <c r="D146" t="s">
        <v>296</v>
      </c>
      <c r="E146">
        <v>21</v>
      </c>
      <c r="F146" t="s">
        <v>54</v>
      </c>
      <c r="G146" t="s">
        <v>22</v>
      </c>
      <c r="H146" t="s">
        <v>23</v>
      </c>
      <c r="I146">
        <v>49</v>
      </c>
      <c r="J146" t="s">
        <v>24</v>
      </c>
      <c r="K146">
        <v>3026.85</v>
      </c>
      <c r="L146">
        <v>5183.58</v>
      </c>
      <c r="M146" t="s">
        <v>25</v>
      </c>
      <c r="N146" s="30">
        <v>0.25</v>
      </c>
      <c r="O146" t="s">
        <v>26</v>
      </c>
      <c r="P146" t="s">
        <v>34</v>
      </c>
      <c r="Q146" t="s">
        <v>28</v>
      </c>
    </row>
    <row r="147" spans="1:17" x14ac:dyDescent="0.35">
      <c r="A147" t="s">
        <v>297</v>
      </c>
      <c r="B147">
        <v>1003</v>
      </c>
      <c r="C147" s="1">
        <v>45124</v>
      </c>
      <c r="D147" t="s">
        <v>298</v>
      </c>
      <c r="E147">
        <v>47</v>
      </c>
      <c r="F147" t="s">
        <v>65</v>
      </c>
      <c r="G147" t="s">
        <v>22</v>
      </c>
      <c r="H147" t="s">
        <v>50</v>
      </c>
      <c r="I147">
        <v>15</v>
      </c>
      <c r="J147" t="s">
        <v>51</v>
      </c>
      <c r="K147">
        <v>1729.14</v>
      </c>
      <c r="L147">
        <v>1870.88</v>
      </c>
      <c r="M147" t="s">
        <v>25</v>
      </c>
      <c r="N147" s="30">
        <v>0.23</v>
      </c>
      <c r="O147" t="s">
        <v>26</v>
      </c>
      <c r="P147" t="s">
        <v>34</v>
      </c>
      <c r="Q147" t="s">
        <v>28</v>
      </c>
    </row>
    <row r="148" spans="1:17" x14ac:dyDescent="0.35">
      <c r="A148" t="s">
        <v>299</v>
      </c>
      <c r="B148">
        <v>1001</v>
      </c>
      <c r="C148" s="1">
        <v>45060</v>
      </c>
      <c r="D148" t="s">
        <v>294</v>
      </c>
      <c r="E148">
        <v>28</v>
      </c>
      <c r="F148" t="s">
        <v>65</v>
      </c>
      <c r="G148" t="s">
        <v>22</v>
      </c>
      <c r="H148" t="s">
        <v>50</v>
      </c>
      <c r="I148">
        <v>35</v>
      </c>
      <c r="J148" t="s">
        <v>51</v>
      </c>
      <c r="K148">
        <v>2745.75</v>
      </c>
      <c r="L148">
        <v>3244.76</v>
      </c>
      <c r="M148" t="s">
        <v>46</v>
      </c>
      <c r="N148" s="30">
        <v>0.05</v>
      </c>
      <c r="O148" t="s">
        <v>40</v>
      </c>
      <c r="P148" t="s">
        <v>27</v>
      </c>
      <c r="Q148" t="s">
        <v>41</v>
      </c>
    </row>
    <row r="149" spans="1:17" x14ac:dyDescent="0.35">
      <c r="A149" t="s">
        <v>300</v>
      </c>
      <c r="B149">
        <v>1005</v>
      </c>
      <c r="C149" s="1">
        <v>44993</v>
      </c>
      <c r="D149" t="s">
        <v>194</v>
      </c>
      <c r="E149">
        <v>47</v>
      </c>
      <c r="F149" t="s">
        <v>21</v>
      </c>
      <c r="G149" t="s">
        <v>38</v>
      </c>
      <c r="H149" t="s">
        <v>50</v>
      </c>
      <c r="I149">
        <v>12</v>
      </c>
      <c r="J149" t="s">
        <v>45</v>
      </c>
      <c r="K149">
        <v>253.29</v>
      </c>
      <c r="L149">
        <v>683.78</v>
      </c>
      <c r="M149" t="s">
        <v>46</v>
      </c>
      <c r="N149" s="30">
        <v>0.25</v>
      </c>
      <c r="O149" t="s">
        <v>47</v>
      </c>
      <c r="P149" t="s">
        <v>27</v>
      </c>
      <c r="Q149" t="s">
        <v>28</v>
      </c>
    </row>
    <row r="150" spans="1:17" x14ac:dyDescent="0.35">
      <c r="A150" t="s">
        <v>301</v>
      </c>
      <c r="B150">
        <v>1090</v>
      </c>
      <c r="C150" s="1">
        <v>45105</v>
      </c>
      <c r="D150" t="s">
        <v>302</v>
      </c>
      <c r="E150">
        <v>48</v>
      </c>
      <c r="F150" t="s">
        <v>21</v>
      </c>
      <c r="G150" t="s">
        <v>54</v>
      </c>
      <c r="H150" t="s">
        <v>33</v>
      </c>
      <c r="I150">
        <v>41</v>
      </c>
      <c r="J150" t="s">
        <v>45</v>
      </c>
      <c r="K150">
        <v>3736.88</v>
      </c>
      <c r="L150">
        <v>3946.77</v>
      </c>
      <c r="M150" t="s">
        <v>25</v>
      </c>
      <c r="N150" s="30">
        <v>0.06</v>
      </c>
      <c r="O150" t="s">
        <v>47</v>
      </c>
      <c r="P150" t="s">
        <v>34</v>
      </c>
      <c r="Q150" t="s">
        <v>28</v>
      </c>
    </row>
    <row r="151" spans="1:17" x14ac:dyDescent="0.35">
      <c r="A151" t="s">
        <v>303</v>
      </c>
      <c r="B151">
        <v>1014</v>
      </c>
      <c r="C151" s="1">
        <v>44968</v>
      </c>
      <c r="D151" t="s">
        <v>139</v>
      </c>
      <c r="E151">
        <v>41</v>
      </c>
      <c r="F151" t="s">
        <v>31</v>
      </c>
      <c r="G151" t="s">
        <v>22</v>
      </c>
      <c r="H151" t="s">
        <v>44</v>
      </c>
      <c r="I151">
        <v>44</v>
      </c>
      <c r="J151" t="s">
        <v>39</v>
      </c>
      <c r="K151">
        <v>2257.48</v>
      </c>
      <c r="L151">
        <v>3747.81</v>
      </c>
      <c r="M151" t="s">
        <v>25</v>
      </c>
      <c r="N151" s="30">
        <v>0.27</v>
      </c>
      <c r="O151" t="s">
        <v>26</v>
      </c>
      <c r="P151" t="s">
        <v>27</v>
      </c>
      <c r="Q151" t="s">
        <v>41</v>
      </c>
    </row>
    <row r="152" spans="1:17" x14ac:dyDescent="0.35">
      <c r="A152" t="s">
        <v>304</v>
      </c>
      <c r="B152">
        <v>1027</v>
      </c>
      <c r="C152" s="1">
        <v>44941</v>
      </c>
      <c r="D152" t="s">
        <v>305</v>
      </c>
      <c r="E152">
        <v>26</v>
      </c>
      <c r="F152" t="s">
        <v>31</v>
      </c>
      <c r="G152" t="s">
        <v>81</v>
      </c>
      <c r="H152" t="s">
        <v>23</v>
      </c>
      <c r="I152">
        <v>26</v>
      </c>
      <c r="J152" t="s">
        <v>39</v>
      </c>
      <c r="K152">
        <v>149.11000000000001</v>
      </c>
      <c r="L152">
        <v>477.67</v>
      </c>
      <c r="M152" t="s">
        <v>25</v>
      </c>
      <c r="N152" s="30">
        <v>0.14000000000000001</v>
      </c>
      <c r="O152" t="s">
        <v>26</v>
      </c>
      <c r="P152" t="s">
        <v>27</v>
      </c>
      <c r="Q152" t="s">
        <v>41</v>
      </c>
    </row>
    <row r="153" spans="1:17" x14ac:dyDescent="0.35">
      <c r="A153" t="s">
        <v>306</v>
      </c>
      <c r="B153">
        <v>1009</v>
      </c>
      <c r="C153" s="1">
        <v>45037</v>
      </c>
      <c r="D153" t="s">
        <v>307</v>
      </c>
      <c r="E153">
        <v>20</v>
      </c>
      <c r="F153" t="s">
        <v>54</v>
      </c>
      <c r="G153" t="s">
        <v>81</v>
      </c>
      <c r="H153" t="s">
        <v>23</v>
      </c>
      <c r="I153">
        <v>47</v>
      </c>
      <c r="J153" t="s">
        <v>45</v>
      </c>
      <c r="K153">
        <v>359.41</v>
      </c>
      <c r="L153">
        <v>733</v>
      </c>
      <c r="M153" t="s">
        <v>25</v>
      </c>
      <c r="N153" s="30">
        <v>0.2</v>
      </c>
      <c r="O153" t="s">
        <v>40</v>
      </c>
      <c r="P153" t="s">
        <v>34</v>
      </c>
      <c r="Q153" t="s">
        <v>28</v>
      </c>
    </row>
    <row r="154" spans="1:17" x14ac:dyDescent="0.35">
      <c r="A154" t="s">
        <v>308</v>
      </c>
      <c r="B154">
        <v>1079</v>
      </c>
      <c r="C154" s="1">
        <v>45083</v>
      </c>
      <c r="D154" t="s">
        <v>309</v>
      </c>
      <c r="E154">
        <v>48</v>
      </c>
      <c r="F154" t="s">
        <v>54</v>
      </c>
      <c r="G154" t="s">
        <v>81</v>
      </c>
      <c r="H154" t="s">
        <v>23</v>
      </c>
      <c r="I154">
        <v>34</v>
      </c>
      <c r="J154" t="s">
        <v>24</v>
      </c>
      <c r="K154">
        <v>1967.96</v>
      </c>
      <c r="L154">
        <v>1993.4</v>
      </c>
      <c r="M154" t="s">
        <v>25</v>
      </c>
      <c r="N154" s="30">
        <v>0.15</v>
      </c>
      <c r="O154" t="s">
        <v>47</v>
      </c>
      <c r="P154" t="s">
        <v>27</v>
      </c>
      <c r="Q154" t="s">
        <v>28</v>
      </c>
    </row>
    <row r="155" spans="1:17" x14ac:dyDescent="0.35">
      <c r="A155" t="s">
        <v>310</v>
      </c>
      <c r="B155">
        <v>1015</v>
      </c>
      <c r="C155" s="1">
        <v>45215</v>
      </c>
      <c r="D155" t="s">
        <v>129</v>
      </c>
      <c r="E155">
        <v>57</v>
      </c>
      <c r="F155" t="s">
        <v>100</v>
      </c>
      <c r="G155" t="s">
        <v>81</v>
      </c>
      <c r="H155" t="s">
        <v>33</v>
      </c>
      <c r="I155">
        <v>23</v>
      </c>
      <c r="J155" t="s">
        <v>39</v>
      </c>
      <c r="K155">
        <v>2937.94</v>
      </c>
      <c r="L155">
        <v>3007.53</v>
      </c>
      <c r="M155" t="s">
        <v>25</v>
      </c>
      <c r="N155" s="30">
        <v>0.03</v>
      </c>
      <c r="O155" t="s">
        <v>26</v>
      </c>
      <c r="P155" t="s">
        <v>27</v>
      </c>
      <c r="Q155" t="s">
        <v>28</v>
      </c>
    </row>
    <row r="156" spans="1:17" x14ac:dyDescent="0.35">
      <c r="A156" t="s">
        <v>311</v>
      </c>
      <c r="B156">
        <v>1090</v>
      </c>
      <c r="C156" s="1">
        <v>45157</v>
      </c>
      <c r="D156" t="s">
        <v>312</v>
      </c>
      <c r="E156">
        <v>54</v>
      </c>
      <c r="F156" t="s">
        <v>31</v>
      </c>
      <c r="G156" t="s">
        <v>38</v>
      </c>
      <c r="H156" t="s">
        <v>50</v>
      </c>
      <c r="I156">
        <v>31</v>
      </c>
      <c r="J156" t="s">
        <v>45</v>
      </c>
      <c r="K156">
        <v>2347.81</v>
      </c>
      <c r="L156">
        <v>2668.02</v>
      </c>
      <c r="M156" t="s">
        <v>25</v>
      </c>
      <c r="N156" s="30">
        <v>0.09</v>
      </c>
      <c r="O156" t="s">
        <v>40</v>
      </c>
      <c r="P156" t="s">
        <v>34</v>
      </c>
      <c r="Q156" t="s">
        <v>28</v>
      </c>
    </row>
    <row r="157" spans="1:17" x14ac:dyDescent="0.35">
      <c r="A157" t="s">
        <v>313</v>
      </c>
      <c r="B157">
        <v>1042</v>
      </c>
      <c r="C157" s="1">
        <v>45083</v>
      </c>
      <c r="D157" t="s">
        <v>314</v>
      </c>
      <c r="E157">
        <v>53</v>
      </c>
      <c r="F157" t="s">
        <v>65</v>
      </c>
      <c r="G157" t="s">
        <v>81</v>
      </c>
      <c r="H157" t="s">
        <v>44</v>
      </c>
      <c r="I157">
        <v>20</v>
      </c>
      <c r="J157" t="s">
        <v>39</v>
      </c>
      <c r="K157">
        <v>3115.06</v>
      </c>
      <c r="L157">
        <v>3765.58</v>
      </c>
      <c r="M157" t="s">
        <v>25</v>
      </c>
      <c r="N157" s="30">
        <v>0.3</v>
      </c>
      <c r="O157" t="s">
        <v>47</v>
      </c>
      <c r="P157" t="s">
        <v>27</v>
      </c>
      <c r="Q157" t="s">
        <v>35</v>
      </c>
    </row>
    <row r="158" spans="1:17" x14ac:dyDescent="0.35">
      <c r="A158" t="s">
        <v>315</v>
      </c>
      <c r="B158">
        <v>1077</v>
      </c>
      <c r="C158" s="1">
        <v>44964</v>
      </c>
      <c r="D158" t="s">
        <v>316</v>
      </c>
      <c r="E158">
        <v>41</v>
      </c>
      <c r="F158" t="s">
        <v>31</v>
      </c>
      <c r="G158" t="s">
        <v>22</v>
      </c>
      <c r="H158" t="s">
        <v>33</v>
      </c>
      <c r="I158">
        <v>12</v>
      </c>
      <c r="J158" t="s">
        <v>45</v>
      </c>
      <c r="K158">
        <v>2427.46</v>
      </c>
      <c r="L158">
        <v>2743.09</v>
      </c>
      <c r="M158" t="s">
        <v>46</v>
      </c>
      <c r="N158" s="30">
        <v>0.28999999999999998</v>
      </c>
      <c r="O158" t="s">
        <v>47</v>
      </c>
      <c r="P158" t="s">
        <v>34</v>
      </c>
      <c r="Q158" t="s">
        <v>35</v>
      </c>
    </row>
    <row r="159" spans="1:17" x14ac:dyDescent="0.35">
      <c r="A159" t="s">
        <v>317</v>
      </c>
      <c r="B159">
        <v>1051</v>
      </c>
      <c r="C159" s="1">
        <v>45023</v>
      </c>
      <c r="D159" t="s">
        <v>231</v>
      </c>
      <c r="E159">
        <v>48</v>
      </c>
      <c r="F159" t="s">
        <v>65</v>
      </c>
      <c r="G159" t="s">
        <v>32</v>
      </c>
      <c r="H159" t="s">
        <v>50</v>
      </c>
      <c r="I159">
        <v>23</v>
      </c>
      <c r="J159" t="s">
        <v>51</v>
      </c>
      <c r="K159">
        <v>3325.43</v>
      </c>
      <c r="L159">
        <v>3401.1</v>
      </c>
      <c r="M159" t="s">
        <v>46</v>
      </c>
      <c r="N159" s="30">
        <v>0.1</v>
      </c>
      <c r="O159" t="s">
        <v>26</v>
      </c>
      <c r="P159" t="s">
        <v>34</v>
      </c>
      <c r="Q159" t="s">
        <v>28</v>
      </c>
    </row>
    <row r="160" spans="1:17" x14ac:dyDescent="0.35">
      <c r="A160" t="s">
        <v>318</v>
      </c>
      <c r="B160">
        <v>1063</v>
      </c>
      <c r="C160" s="1">
        <v>45215</v>
      </c>
      <c r="D160" t="s">
        <v>97</v>
      </c>
      <c r="E160">
        <v>23</v>
      </c>
      <c r="F160" t="s">
        <v>21</v>
      </c>
      <c r="G160" t="s">
        <v>81</v>
      </c>
      <c r="H160" t="s">
        <v>33</v>
      </c>
      <c r="I160">
        <v>4</v>
      </c>
      <c r="J160" t="s">
        <v>45</v>
      </c>
      <c r="K160">
        <v>1134.67</v>
      </c>
      <c r="L160">
        <v>1201.3900000000001</v>
      </c>
      <c r="M160" t="s">
        <v>46</v>
      </c>
      <c r="N160" s="30">
        <v>0.3</v>
      </c>
      <c r="O160" t="s">
        <v>40</v>
      </c>
      <c r="P160" t="s">
        <v>27</v>
      </c>
      <c r="Q160" t="s">
        <v>35</v>
      </c>
    </row>
    <row r="161" spans="1:17" x14ac:dyDescent="0.35">
      <c r="A161" t="s">
        <v>319</v>
      </c>
      <c r="B161">
        <v>1096</v>
      </c>
      <c r="C161" s="1">
        <v>45180</v>
      </c>
      <c r="D161" t="s">
        <v>135</v>
      </c>
      <c r="E161">
        <v>19</v>
      </c>
      <c r="F161" t="s">
        <v>31</v>
      </c>
      <c r="G161" t="s">
        <v>38</v>
      </c>
      <c r="H161" t="s">
        <v>44</v>
      </c>
      <c r="I161">
        <v>23</v>
      </c>
      <c r="J161" t="s">
        <v>51</v>
      </c>
      <c r="K161">
        <v>608.57000000000005</v>
      </c>
      <c r="L161">
        <v>1032.22</v>
      </c>
      <c r="M161" t="s">
        <v>46</v>
      </c>
      <c r="N161" s="30">
        <v>0.25</v>
      </c>
      <c r="O161" t="s">
        <v>26</v>
      </c>
      <c r="P161" t="s">
        <v>27</v>
      </c>
      <c r="Q161" t="s">
        <v>41</v>
      </c>
    </row>
    <row r="162" spans="1:17" x14ac:dyDescent="0.35">
      <c r="A162" t="s">
        <v>320</v>
      </c>
      <c r="B162">
        <v>1052</v>
      </c>
      <c r="C162" s="1">
        <v>45122</v>
      </c>
      <c r="D162" t="s">
        <v>321</v>
      </c>
      <c r="E162">
        <v>37</v>
      </c>
      <c r="F162" t="s">
        <v>21</v>
      </c>
      <c r="G162" t="s">
        <v>38</v>
      </c>
      <c r="H162" t="s">
        <v>50</v>
      </c>
      <c r="I162">
        <v>48</v>
      </c>
      <c r="J162" t="s">
        <v>39</v>
      </c>
      <c r="K162">
        <v>3002.35</v>
      </c>
      <c r="L162">
        <v>4080.61</v>
      </c>
      <c r="M162" t="s">
        <v>25</v>
      </c>
      <c r="N162" s="30">
        <v>0.18</v>
      </c>
      <c r="O162" t="s">
        <v>40</v>
      </c>
      <c r="P162" t="s">
        <v>27</v>
      </c>
      <c r="Q162" t="s">
        <v>35</v>
      </c>
    </row>
    <row r="163" spans="1:17" x14ac:dyDescent="0.35">
      <c r="A163" t="s">
        <v>322</v>
      </c>
      <c r="B163">
        <v>1096</v>
      </c>
      <c r="C163" s="1">
        <v>45012</v>
      </c>
      <c r="D163" t="s">
        <v>323</v>
      </c>
      <c r="E163">
        <v>45</v>
      </c>
      <c r="F163" t="s">
        <v>54</v>
      </c>
      <c r="G163" t="s">
        <v>81</v>
      </c>
      <c r="H163" t="s">
        <v>33</v>
      </c>
      <c r="I163">
        <v>48</v>
      </c>
      <c r="J163" t="s">
        <v>45</v>
      </c>
      <c r="K163">
        <v>2449.21</v>
      </c>
      <c r="L163">
        <v>2714.12</v>
      </c>
      <c r="M163" t="s">
        <v>46</v>
      </c>
      <c r="N163" s="30">
        <v>0.01</v>
      </c>
      <c r="O163" t="s">
        <v>47</v>
      </c>
      <c r="P163" t="s">
        <v>34</v>
      </c>
      <c r="Q163" t="s">
        <v>35</v>
      </c>
    </row>
    <row r="164" spans="1:17" x14ac:dyDescent="0.35">
      <c r="A164" t="s">
        <v>324</v>
      </c>
      <c r="B164">
        <v>1004</v>
      </c>
      <c r="C164" s="1">
        <v>45248</v>
      </c>
      <c r="D164" t="s">
        <v>254</v>
      </c>
      <c r="E164">
        <v>28</v>
      </c>
      <c r="F164" t="s">
        <v>54</v>
      </c>
      <c r="G164" t="s">
        <v>32</v>
      </c>
      <c r="H164" t="s">
        <v>44</v>
      </c>
      <c r="I164">
        <v>1</v>
      </c>
      <c r="J164" t="s">
        <v>39</v>
      </c>
      <c r="K164">
        <v>182.99</v>
      </c>
      <c r="L164">
        <v>211.18</v>
      </c>
      <c r="M164" t="s">
        <v>25</v>
      </c>
      <c r="N164" s="30">
        <v>0.27</v>
      </c>
      <c r="O164" t="s">
        <v>40</v>
      </c>
      <c r="P164" t="s">
        <v>27</v>
      </c>
      <c r="Q164" t="s">
        <v>28</v>
      </c>
    </row>
    <row r="165" spans="1:17" x14ac:dyDescent="0.35">
      <c r="A165" t="s">
        <v>325</v>
      </c>
      <c r="B165">
        <v>1094</v>
      </c>
      <c r="C165" s="1">
        <v>44936</v>
      </c>
      <c r="D165" t="s">
        <v>250</v>
      </c>
      <c r="E165">
        <v>21</v>
      </c>
      <c r="F165" t="s">
        <v>100</v>
      </c>
      <c r="G165" t="s">
        <v>81</v>
      </c>
      <c r="H165" t="s">
        <v>23</v>
      </c>
      <c r="I165">
        <v>25</v>
      </c>
      <c r="J165" t="s">
        <v>51</v>
      </c>
      <c r="K165">
        <v>1933.39</v>
      </c>
      <c r="L165">
        <v>1982.92</v>
      </c>
      <c r="M165" t="s">
        <v>46</v>
      </c>
      <c r="N165" s="30">
        <v>0.17</v>
      </c>
      <c r="O165" t="s">
        <v>40</v>
      </c>
      <c r="P165" t="s">
        <v>34</v>
      </c>
      <c r="Q165" t="s">
        <v>35</v>
      </c>
    </row>
    <row r="166" spans="1:17" x14ac:dyDescent="0.35">
      <c r="A166" t="s">
        <v>326</v>
      </c>
      <c r="B166">
        <v>1023</v>
      </c>
      <c r="C166" s="1">
        <v>44931</v>
      </c>
      <c r="D166" t="s">
        <v>327</v>
      </c>
      <c r="E166">
        <v>32</v>
      </c>
      <c r="F166" t="s">
        <v>31</v>
      </c>
      <c r="G166" t="s">
        <v>38</v>
      </c>
      <c r="H166" t="s">
        <v>44</v>
      </c>
      <c r="I166">
        <v>2</v>
      </c>
      <c r="J166" t="s">
        <v>45</v>
      </c>
      <c r="K166">
        <v>575.32000000000005</v>
      </c>
      <c r="L166">
        <v>914.77</v>
      </c>
      <c r="M166" t="s">
        <v>25</v>
      </c>
      <c r="N166" s="30">
        <v>0.26</v>
      </c>
      <c r="O166" t="s">
        <v>40</v>
      </c>
      <c r="P166" t="s">
        <v>27</v>
      </c>
      <c r="Q166" t="s">
        <v>35</v>
      </c>
    </row>
    <row r="167" spans="1:17" x14ac:dyDescent="0.35">
      <c r="A167" t="s">
        <v>328</v>
      </c>
      <c r="B167">
        <v>1015</v>
      </c>
      <c r="C167" s="1">
        <v>45049</v>
      </c>
      <c r="D167" t="s">
        <v>91</v>
      </c>
      <c r="E167">
        <v>23</v>
      </c>
      <c r="F167" t="s">
        <v>21</v>
      </c>
      <c r="G167" t="s">
        <v>54</v>
      </c>
      <c r="H167" t="s">
        <v>23</v>
      </c>
      <c r="I167">
        <v>30</v>
      </c>
      <c r="J167" t="s">
        <v>39</v>
      </c>
      <c r="K167">
        <v>2680.22</v>
      </c>
      <c r="L167">
        <v>4027.92</v>
      </c>
      <c r="M167" t="s">
        <v>25</v>
      </c>
      <c r="N167" s="30">
        <v>0.25</v>
      </c>
      <c r="O167" t="s">
        <v>40</v>
      </c>
      <c r="P167" t="s">
        <v>27</v>
      </c>
      <c r="Q167" t="s">
        <v>35</v>
      </c>
    </row>
    <row r="168" spans="1:17" x14ac:dyDescent="0.35">
      <c r="A168" t="s">
        <v>329</v>
      </c>
      <c r="B168">
        <v>1043</v>
      </c>
      <c r="C168" s="1">
        <v>45256</v>
      </c>
      <c r="D168" t="s">
        <v>156</v>
      </c>
      <c r="E168">
        <v>47</v>
      </c>
      <c r="F168" t="s">
        <v>65</v>
      </c>
      <c r="G168" t="s">
        <v>22</v>
      </c>
      <c r="H168" t="s">
        <v>33</v>
      </c>
      <c r="I168">
        <v>3</v>
      </c>
      <c r="J168" t="s">
        <v>51</v>
      </c>
      <c r="K168">
        <v>2009.1</v>
      </c>
      <c r="L168">
        <v>2186.42</v>
      </c>
      <c r="M168" t="s">
        <v>46</v>
      </c>
      <c r="N168" s="30">
        <v>0.25</v>
      </c>
      <c r="O168" t="s">
        <v>40</v>
      </c>
      <c r="P168" t="s">
        <v>27</v>
      </c>
      <c r="Q168" t="s">
        <v>35</v>
      </c>
    </row>
    <row r="169" spans="1:17" x14ac:dyDescent="0.35">
      <c r="A169" t="s">
        <v>330</v>
      </c>
      <c r="B169">
        <v>1029</v>
      </c>
      <c r="C169" s="1">
        <v>45279</v>
      </c>
      <c r="D169" t="s">
        <v>95</v>
      </c>
      <c r="E169">
        <v>55</v>
      </c>
      <c r="F169" t="s">
        <v>54</v>
      </c>
      <c r="G169" t="s">
        <v>38</v>
      </c>
      <c r="H169" t="s">
        <v>50</v>
      </c>
      <c r="I169">
        <v>21</v>
      </c>
      <c r="J169" t="s">
        <v>39</v>
      </c>
      <c r="K169">
        <v>3085.1</v>
      </c>
      <c r="L169">
        <v>3800.75</v>
      </c>
      <c r="M169" t="s">
        <v>46</v>
      </c>
      <c r="N169" s="30">
        <v>0.21</v>
      </c>
      <c r="O169" t="s">
        <v>26</v>
      </c>
      <c r="P169" t="s">
        <v>34</v>
      </c>
      <c r="Q169" t="s">
        <v>41</v>
      </c>
    </row>
    <row r="170" spans="1:17" x14ac:dyDescent="0.35">
      <c r="A170" t="s">
        <v>331</v>
      </c>
      <c r="B170">
        <v>1036</v>
      </c>
      <c r="C170" s="1">
        <v>45044</v>
      </c>
      <c r="D170" t="s">
        <v>302</v>
      </c>
      <c r="E170">
        <v>19</v>
      </c>
      <c r="F170" t="s">
        <v>54</v>
      </c>
      <c r="G170" t="s">
        <v>81</v>
      </c>
      <c r="H170" t="s">
        <v>50</v>
      </c>
      <c r="I170">
        <v>25</v>
      </c>
      <c r="J170" t="s">
        <v>24</v>
      </c>
      <c r="K170">
        <v>4037.73</v>
      </c>
      <c r="L170">
        <v>4446.45</v>
      </c>
      <c r="M170" t="s">
        <v>25</v>
      </c>
      <c r="N170" s="30">
        <v>0.09</v>
      </c>
      <c r="O170" t="s">
        <v>40</v>
      </c>
      <c r="P170" t="s">
        <v>27</v>
      </c>
      <c r="Q170" t="s">
        <v>28</v>
      </c>
    </row>
    <row r="171" spans="1:17" x14ac:dyDescent="0.35">
      <c r="A171" t="s">
        <v>332</v>
      </c>
      <c r="B171">
        <v>1013</v>
      </c>
      <c r="C171" s="1">
        <v>45220</v>
      </c>
      <c r="D171" t="s">
        <v>333</v>
      </c>
      <c r="E171">
        <v>32</v>
      </c>
      <c r="F171" t="s">
        <v>65</v>
      </c>
      <c r="G171" t="s">
        <v>22</v>
      </c>
      <c r="H171" t="s">
        <v>33</v>
      </c>
      <c r="I171">
        <v>20</v>
      </c>
      <c r="J171" t="s">
        <v>51</v>
      </c>
      <c r="K171">
        <v>1533.36</v>
      </c>
      <c r="L171">
        <v>1649.74</v>
      </c>
      <c r="M171" t="s">
        <v>25</v>
      </c>
      <c r="N171" s="30">
        <v>0.1</v>
      </c>
      <c r="O171" t="s">
        <v>40</v>
      </c>
      <c r="P171" t="s">
        <v>27</v>
      </c>
      <c r="Q171" t="s">
        <v>28</v>
      </c>
    </row>
    <row r="172" spans="1:17" x14ac:dyDescent="0.35">
      <c r="A172" t="s">
        <v>334</v>
      </c>
      <c r="B172">
        <v>1032</v>
      </c>
      <c r="C172" s="1">
        <v>45085</v>
      </c>
      <c r="D172" t="s">
        <v>93</v>
      </c>
      <c r="E172">
        <v>28</v>
      </c>
      <c r="F172" t="s">
        <v>21</v>
      </c>
      <c r="G172" t="s">
        <v>81</v>
      </c>
      <c r="H172" t="s">
        <v>50</v>
      </c>
      <c r="I172">
        <v>49</v>
      </c>
      <c r="J172" t="s">
        <v>51</v>
      </c>
      <c r="K172">
        <v>4812.41</v>
      </c>
      <c r="L172">
        <v>5588</v>
      </c>
      <c r="M172" t="s">
        <v>25</v>
      </c>
      <c r="N172" s="30">
        <v>0.09</v>
      </c>
      <c r="O172" t="s">
        <v>47</v>
      </c>
      <c r="P172" t="s">
        <v>34</v>
      </c>
      <c r="Q172" t="s">
        <v>41</v>
      </c>
    </row>
    <row r="173" spans="1:17" x14ac:dyDescent="0.35">
      <c r="A173" t="s">
        <v>335</v>
      </c>
      <c r="B173">
        <v>1071</v>
      </c>
      <c r="C173" s="1">
        <v>45229</v>
      </c>
      <c r="D173" t="s">
        <v>64</v>
      </c>
      <c r="E173">
        <v>25</v>
      </c>
      <c r="F173" t="s">
        <v>21</v>
      </c>
      <c r="G173" t="s">
        <v>81</v>
      </c>
      <c r="H173" t="s">
        <v>50</v>
      </c>
      <c r="I173">
        <v>22</v>
      </c>
      <c r="J173" t="s">
        <v>51</v>
      </c>
      <c r="K173">
        <v>2701.39</v>
      </c>
      <c r="L173">
        <v>3185.81</v>
      </c>
      <c r="M173" t="s">
        <v>46</v>
      </c>
      <c r="N173" s="30">
        <v>0.01</v>
      </c>
      <c r="O173" t="s">
        <v>40</v>
      </c>
      <c r="P173" t="s">
        <v>34</v>
      </c>
      <c r="Q173" t="s">
        <v>35</v>
      </c>
    </row>
    <row r="174" spans="1:17" x14ac:dyDescent="0.35">
      <c r="A174" t="s">
        <v>336</v>
      </c>
      <c r="B174">
        <v>1059</v>
      </c>
      <c r="C174" s="1">
        <v>45154</v>
      </c>
      <c r="D174" t="s">
        <v>337</v>
      </c>
      <c r="E174">
        <v>43</v>
      </c>
      <c r="F174" t="s">
        <v>31</v>
      </c>
      <c r="G174" t="s">
        <v>54</v>
      </c>
      <c r="H174" t="s">
        <v>23</v>
      </c>
      <c r="I174">
        <v>21</v>
      </c>
      <c r="J174" t="s">
        <v>45</v>
      </c>
      <c r="K174">
        <v>3110.54</v>
      </c>
      <c r="L174">
        <v>3192.99</v>
      </c>
      <c r="M174" t="s">
        <v>46</v>
      </c>
      <c r="N174" s="30">
        <v>0.17</v>
      </c>
      <c r="O174" t="s">
        <v>47</v>
      </c>
      <c r="P174" t="s">
        <v>27</v>
      </c>
      <c r="Q174" t="s">
        <v>41</v>
      </c>
    </row>
    <row r="175" spans="1:17" x14ac:dyDescent="0.35">
      <c r="A175" t="s">
        <v>338</v>
      </c>
      <c r="B175">
        <v>1086</v>
      </c>
      <c r="C175" s="1">
        <v>45291</v>
      </c>
      <c r="D175" t="s">
        <v>168</v>
      </c>
      <c r="E175">
        <v>62</v>
      </c>
      <c r="F175" t="s">
        <v>31</v>
      </c>
      <c r="G175" t="s">
        <v>22</v>
      </c>
      <c r="H175" t="s">
        <v>33</v>
      </c>
      <c r="I175">
        <v>33</v>
      </c>
      <c r="J175" t="s">
        <v>45</v>
      </c>
      <c r="K175">
        <v>3419.33</v>
      </c>
      <c r="L175">
        <v>3890.36</v>
      </c>
      <c r="M175" t="s">
        <v>25</v>
      </c>
      <c r="N175" s="30">
        <v>0.21</v>
      </c>
      <c r="O175" t="s">
        <v>26</v>
      </c>
      <c r="P175" t="s">
        <v>27</v>
      </c>
      <c r="Q175" t="s">
        <v>35</v>
      </c>
    </row>
    <row r="176" spans="1:17" x14ac:dyDescent="0.35">
      <c r="A176" t="s">
        <v>339</v>
      </c>
      <c r="B176">
        <v>1028</v>
      </c>
      <c r="C176" s="1">
        <v>45142</v>
      </c>
      <c r="D176" t="s">
        <v>244</v>
      </c>
      <c r="E176">
        <v>61</v>
      </c>
      <c r="F176" t="s">
        <v>100</v>
      </c>
      <c r="G176" t="s">
        <v>22</v>
      </c>
      <c r="H176" t="s">
        <v>44</v>
      </c>
      <c r="I176">
        <v>38</v>
      </c>
      <c r="J176" t="s">
        <v>45</v>
      </c>
      <c r="K176">
        <v>3350.32</v>
      </c>
      <c r="L176">
        <v>5449.94</v>
      </c>
      <c r="M176" t="s">
        <v>46</v>
      </c>
      <c r="N176" s="30">
        <v>0.26</v>
      </c>
      <c r="O176" t="s">
        <v>26</v>
      </c>
      <c r="P176" t="s">
        <v>27</v>
      </c>
      <c r="Q176" t="s">
        <v>41</v>
      </c>
    </row>
    <row r="177" spans="1:17" x14ac:dyDescent="0.35">
      <c r="A177" t="s">
        <v>340</v>
      </c>
      <c r="B177">
        <v>1066</v>
      </c>
      <c r="C177" s="1">
        <v>45110</v>
      </c>
      <c r="D177" t="s">
        <v>341</v>
      </c>
      <c r="E177">
        <v>22</v>
      </c>
      <c r="F177" t="s">
        <v>54</v>
      </c>
      <c r="G177" t="s">
        <v>54</v>
      </c>
      <c r="H177" t="s">
        <v>23</v>
      </c>
      <c r="I177">
        <v>15</v>
      </c>
      <c r="J177" t="s">
        <v>24</v>
      </c>
      <c r="K177">
        <v>2579.31</v>
      </c>
      <c r="L177">
        <v>2867.36</v>
      </c>
      <c r="M177" t="s">
        <v>25</v>
      </c>
      <c r="N177" s="30">
        <v>0.04</v>
      </c>
      <c r="O177" t="s">
        <v>40</v>
      </c>
      <c r="P177" t="s">
        <v>34</v>
      </c>
      <c r="Q177" t="s">
        <v>28</v>
      </c>
    </row>
    <row r="178" spans="1:17" x14ac:dyDescent="0.35">
      <c r="A178" t="s">
        <v>342</v>
      </c>
      <c r="B178">
        <v>1042</v>
      </c>
      <c r="C178" s="1">
        <v>44941</v>
      </c>
      <c r="D178" t="s">
        <v>289</v>
      </c>
      <c r="E178">
        <v>23</v>
      </c>
      <c r="F178" t="s">
        <v>31</v>
      </c>
      <c r="G178" t="s">
        <v>38</v>
      </c>
      <c r="H178" t="s">
        <v>33</v>
      </c>
      <c r="I178">
        <v>46</v>
      </c>
      <c r="J178" t="s">
        <v>24</v>
      </c>
      <c r="K178">
        <v>2172.38</v>
      </c>
      <c r="L178">
        <v>2367.11</v>
      </c>
      <c r="M178" t="s">
        <v>46</v>
      </c>
      <c r="N178" s="30">
        <v>0.16</v>
      </c>
      <c r="O178" t="s">
        <v>26</v>
      </c>
      <c r="P178" t="s">
        <v>34</v>
      </c>
      <c r="Q178" t="s">
        <v>28</v>
      </c>
    </row>
    <row r="179" spans="1:17" x14ac:dyDescent="0.35">
      <c r="A179" t="s">
        <v>343</v>
      </c>
      <c r="B179">
        <v>1045</v>
      </c>
      <c r="C179" s="1">
        <v>45083</v>
      </c>
      <c r="D179" t="s">
        <v>20</v>
      </c>
      <c r="E179">
        <v>43</v>
      </c>
      <c r="F179" t="s">
        <v>21</v>
      </c>
      <c r="G179" t="s">
        <v>81</v>
      </c>
      <c r="H179" t="s">
        <v>23</v>
      </c>
      <c r="I179">
        <v>15</v>
      </c>
      <c r="J179" t="s">
        <v>51</v>
      </c>
      <c r="K179">
        <v>316.22000000000003</v>
      </c>
      <c r="L179">
        <v>799.04</v>
      </c>
      <c r="M179" t="s">
        <v>46</v>
      </c>
      <c r="N179" s="30">
        <v>0</v>
      </c>
      <c r="O179" t="s">
        <v>40</v>
      </c>
      <c r="P179" t="s">
        <v>34</v>
      </c>
      <c r="Q179" t="s">
        <v>28</v>
      </c>
    </row>
    <row r="180" spans="1:17" x14ac:dyDescent="0.35">
      <c r="A180" t="s">
        <v>344</v>
      </c>
      <c r="B180">
        <v>1062</v>
      </c>
      <c r="C180" s="1">
        <v>45062</v>
      </c>
      <c r="D180" t="s">
        <v>345</v>
      </c>
      <c r="E180">
        <v>21</v>
      </c>
      <c r="F180" t="s">
        <v>65</v>
      </c>
      <c r="G180" t="s">
        <v>32</v>
      </c>
      <c r="H180" t="s">
        <v>44</v>
      </c>
      <c r="I180">
        <v>46</v>
      </c>
      <c r="J180" t="s">
        <v>24</v>
      </c>
      <c r="K180">
        <v>159.32</v>
      </c>
      <c r="L180">
        <v>303.36</v>
      </c>
      <c r="M180" t="s">
        <v>46</v>
      </c>
      <c r="N180" s="30">
        <v>0.03</v>
      </c>
      <c r="O180" t="s">
        <v>26</v>
      </c>
      <c r="P180" t="s">
        <v>34</v>
      </c>
      <c r="Q180" t="s">
        <v>35</v>
      </c>
    </row>
    <row r="181" spans="1:17" x14ac:dyDescent="0.35">
      <c r="A181" t="s">
        <v>346</v>
      </c>
      <c r="B181">
        <v>1057</v>
      </c>
      <c r="C181" s="1">
        <v>45187</v>
      </c>
      <c r="D181" t="s">
        <v>347</v>
      </c>
      <c r="E181">
        <v>36</v>
      </c>
      <c r="F181" t="s">
        <v>21</v>
      </c>
      <c r="G181" t="s">
        <v>81</v>
      </c>
      <c r="H181" t="s">
        <v>44</v>
      </c>
      <c r="I181">
        <v>25</v>
      </c>
      <c r="J181" t="s">
        <v>39</v>
      </c>
      <c r="K181">
        <v>1821.91</v>
      </c>
      <c r="L181">
        <v>2027.74</v>
      </c>
      <c r="M181" t="s">
        <v>46</v>
      </c>
      <c r="N181" s="30">
        <v>0.02</v>
      </c>
      <c r="O181" t="s">
        <v>40</v>
      </c>
      <c r="P181" t="s">
        <v>27</v>
      </c>
      <c r="Q181" t="s">
        <v>35</v>
      </c>
    </row>
    <row r="182" spans="1:17" x14ac:dyDescent="0.35">
      <c r="A182" t="s">
        <v>348</v>
      </c>
      <c r="B182">
        <v>1006</v>
      </c>
      <c r="C182" s="1">
        <v>45083</v>
      </c>
      <c r="D182" t="s">
        <v>349</v>
      </c>
      <c r="E182">
        <v>37</v>
      </c>
      <c r="F182" t="s">
        <v>54</v>
      </c>
      <c r="G182" t="s">
        <v>81</v>
      </c>
      <c r="H182" t="s">
        <v>33</v>
      </c>
      <c r="I182">
        <v>21</v>
      </c>
      <c r="J182" t="s">
        <v>51</v>
      </c>
      <c r="K182">
        <v>1701.62</v>
      </c>
      <c r="L182">
        <v>2193.2199999999998</v>
      </c>
      <c r="M182" t="s">
        <v>46</v>
      </c>
      <c r="N182" s="30">
        <v>0.22</v>
      </c>
      <c r="O182" t="s">
        <v>40</v>
      </c>
      <c r="P182" t="s">
        <v>34</v>
      </c>
      <c r="Q182" t="s">
        <v>41</v>
      </c>
    </row>
    <row r="183" spans="1:17" x14ac:dyDescent="0.35">
      <c r="A183" t="s">
        <v>350</v>
      </c>
      <c r="B183">
        <v>1028</v>
      </c>
      <c r="C183" s="1">
        <v>44973</v>
      </c>
      <c r="D183" t="s">
        <v>296</v>
      </c>
      <c r="E183">
        <v>50</v>
      </c>
      <c r="F183" t="s">
        <v>21</v>
      </c>
      <c r="G183" t="s">
        <v>38</v>
      </c>
      <c r="H183" t="s">
        <v>44</v>
      </c>
      <c r="I183">
        <v>24</v>
      </c>
      <c r="J183" t="s">
        <v>51</v>
      </c>
      <c r="K183">
        <v>1969.09</v>
      </c>
      <c r="L183">
        <v>2241.96</v>
      </c>
      <c r="M183" t="s">
        <v>25</v>
      </c>
      <c r="N183" s="30">
        <v>0.02</v>
      </c>
      <c r="O183" t="s">
        <v>47</v>
      </c>
      <c r="P183" t="s">
        <v>34</v>
      </c>
      <c r="Q183" t="s">
        <v>41</v>
      </c>
    </row>
    <row r="184" spans="1:17" x14ac:dyDescent="0.35">
      <c r="A184" t="s">
        <v>351</v>
      </c>
      <c r="B184">
        <v>1028</v>
      </c>
      <c r="C184" s="1">
        <v>45250</v>
      </c>
      <c r="D184" t="s">
        <v>184</v>
      </c>
      <c r="E184">
        <v>37</v>
      </c>
      <c r="F184" t="s">
        <v>100</v>
      </c>
      <c r="G184" t="s">
        <v>81</v>
      </c>
      <c r="H184" t="s">
        <v>23</v>
      </c>
      <c r="I184">
        <v>5</v>
      </c>
      <c r="J184" t="s">
        <v>39</v>
      </c>
      <c r="K184">
        <v>734.92</v>
      </c>
      <c r="L184">
        <v>991.21</v>
      </c>
      <c r="M184" t="s">
        <v>25</v>
      </c>
      <c r="N184" s="30">
        <v>0.21</v>
      </c>
      <c r="O184" t="s">
        <v>47</v>
      </c>
      <c r="P184" t="s">
        <v>34</v>
      </c>
      <c r="Q184" t="s">
        <v>28</v>
      </c>
    </row>
    <row r="185" spans="1:17" x14ac:dyDescent="0.35">
      <c r="A185" t="s">
        <v>352</v>
      </c>
      <c r="B185">
        <v>1044</v>
      </c>
      <c r="C185" s="1">
        <v>45258</v>
      </c>
      <c r="D185" t="s">
        <v>302</v>
      </c>
      <c r="E185">
        <v>29</v>
      </c>
      <c r="F185" t="s">
        <v>54</v>
      </c>
      <c r="G185" t="s">
        <v>54</v>
      </c>
      <c r="H185" t="s">
        <v>44</v>
      </c>
      <c r="I185">
        <v>6</v>
      </c>
      <c r="J185" t="s">
        <v>51</v>
      </c>
      <c r="K185">
        <v>3703.93</v>
      </c>
      <c r="L185">
        <v>3840.24</v>
      </c>
      <c r="M185" t="s">
        <v>46</v>
      </c>
      <c r="N185" s="30">
        <v>7.0000000000000007E-2</v>
      </c>
      <c r="O185" t="s">
        <v>47</v>
      </c>
      <c r="P185" t="s">
        <v>27</v>
      </c>
      <c r="Q185" t="s">
        <v>35</v>
      </c>
    </row>
    <row r="186" spans="1:17" x14ac:dyDescent="0.35">
      <c r="A186" t="s">
        <v>353</v>
      </c>
      <c r="B186">
        <v>1084</v>
      </c>
      <c r="C186" s="1">
        <v>45099</v>
      </c>
      <c r="D186" t="s">
        <v>83</v>
      </c>
      <c r="E186">
        <v>64</v>
      </c>
      <c r="F186" t="s">
        <v>65</v>
      </c>
      <c r="G186" t="s">
        <v>54</v>
      </c>
      <c r="H186" t="s">
        <v>23</v>
      </c>
      <c r="I186">
        <v>49</v>
      </c>
      <c r="J186" t="s">
        <v>24</v>
      </c>
      <c r="K186">
        <v>4291.97</v>
      </c>
      <c r="L186">
        <v>6745.64</v>
      </c>
      <c r="M186" t="s">
        <v>25</v>
      </c>
      <c r="N186" s="30">
        <v>0.26</v>
      </c>
      <c r="O186" t="s">
        <v>47</v>
      </c>
      <c r="P186" t="s">
        <v>27</v>
      </c>
      <c r="Q186" t="s">
        <v>41</v>
      </c>
    </row>
    <row r="187" spans="1:17" x14ac:dyDescent="0.35">
      <c r="A187" t="s">
        <v>354</v>
      </c>
      <c r="B187">
        <v>1030</v>
      </c>
      <c r="C187" s="1">
        <v>45056</v>
      </c>
      <c r="D187" t="s">
        <v>150</v>
      </c>
      <c r="E187">
        <v>18</v>
      </c>
      <c r="F187" t="s">
        <v>100</v>
      </c>
      <c r="G187" t="s">
        <v>22</v>
      </c>
      <c r="H187" t="s">
        <v>23</v>
      </c>
      <c r="I187">
        <v>43</v>
      </c>
      <c r="J187" t="s">
        <v>45</v>
      </c>
      <c r="K187">
        <v>4696.6400000000003</v>
      </c>
      <c r="L187">
        <v>5613.68</v>
      </c>
      <c r="M187" t="s">
        <v>25</v>
      </c>
      <c r="N187" s="30">
        <v>0.15</v>
      </c>
      <c r="O187" t="s">
        <v>40</v>
      </c>
      <c r="P187" t="s">
        <v>34</v>
      </c>
      <c r="Q187" t="s">
        <v>35</v>
      </c>
    </row>
    <row r="188" spans="1:17" x14ac:dyDescent="0.35">
      <c r="A188" t="s">
        <v>355</v>
      </c>
      <c r="B188">
        <v>1062</v>
      </c>
      <c r="C188" s="1">
        <v>45021</v>
      </c>
      <c r="D188" t="s">
        <v>272</v>
      </c>
      <c r="E188">
        <v>43</v>
      </c>
      <c r="F188" t="s">
        <v>54</v>
      </c>
      <c r="G188" t="s">
        <v>32</v>
      </c>
      <c r="H188" t="s">
        <v>44</v>
      </c>
      <c r="I188">
        <v>48</v>
      </c>
      <c r="J188" t="s">
        <v>39</v>
      </c>
      <c r="K188">
        <v>2487.19</v>
      </c>
      <c r="L188">
        <v>3321.45</v>
      </c>
      <c r="M188" t="s">
        <v>46</v>
      </c>
      <c r="N188" s="30">
        <v>0.28999999999999998</v>
      </c>
      <c r="O188" t="s">
        <v>26</v>
      </c>
      <c r="P188" t="s">
        <v>34</v>
      </c>
      <c r="Q188" t="s">
        <v>35</v>
      </c>
    </row>
    <row r="189" spans="1:17" x14ac:dyDescent="0.35">
      <c r="A189" t="s">
        <v>356</v>
      </c>
      <c r="B189">
        <v>1075</v>
      </c>
      <c r="C189" s="1">
        <v>45041</v>
      </c>
      <c r="D189" t="s">
        <v>83</v>
      </c>
      <c r="E189">
        <v>31</v>
      </c>
      <c r="F189" t="s">
        <v>65</v>
      </c>
      <c r="G189" t="s">
        <v>81</v>
      </c>
      <c r="H189" t="s">
        <v>33</v>
      </c>
      <c r="I189">
        <v>44</v>
      </c>
      <c r="J189" t="s">
        <v>24</v>
      </c>
      <c r="K189">
        <v>3519.29</v>
      </c>
      <c r="L189">
        <v>4822.9799999999996</v>
      </c>
      <c r="M189" t="s">
        <v>25</v>
      </c>
      <c r="N189" s="30">
        <v>0.27</v>
      </c>
      <c r="O189" t="s">
        <v>40</v>
      </c>
      <c r="P189" t="s">
        <v>27</v>
      </c>
      <c r="Q189" t="s">
        <v>28</v>
      </c>
    </row>
    <row r="190" spans="1:17" x14ac:dyDescent="0.35">
      <c r="A190" t="s">
        <v>357</v>
      </c>
      <c r="B190">
        <v>1092</v>
      </c>
      <c r="C190" s="1">
        <v>45169</v>
      </c>
      <c r="D190" t="s">
        <v>176</v>
      </c>
      <c r="E190">
        <v>55</v>
      </c>
      <c r="F190" t="s">
        <v>100</v>
      </c>
      <c r="G190" t="s">
        <v>81</v>
      </c>
      <c r="H190" t="s">
        <v>50</v>
      </c>
      <c r="I190">
        <v>47</v>
      </c>
      <c r="J190" t="s">
        <v>39</v>
      </c>
      <c r="K190">
        <v>4284.9799999999996</v>
      </c>
      <c r="L190">
        <v>5862.4</v>
      </c>
      <c r="M190" t="s">
        <v>46</v>
      </c>
      <c r="N190" s="30">
        <v>0.28000000000000003</v>
      </c>
      <c r="O190" t="s">
        <v>47</v>
      </c>
      <c r="P190" t="s">
        <v>27</v>
      </c>
      <c r="Q190" t="s">
        <v>28</v>
      </c>
    </row>
    <row r="191" spans="1:17" x14ac:dyDescent="0.35">
      <c r="A191" t="s">
        <v>358</v>
      </c>
      <c r="B191">
        <v>1089</v>
      </c>
      <c r="C191" s="1">
        <v>45218</v>
      </c>
      <c r="D191" t="s">
        <v>359</v>
      </c>
      <c r="E191">
        <v>54</v>
      </c>
      <c r="F191" t="s">
        <v>100</v>
      </c>
      <c r="G191" t="s">
        <v>38</v>
      </c>
      <c r="H191" t="s">
        <v>44</v>
      </c>
      <c r="I191">
        <v>23</v>
      </c>
      <c r="J191" t="s">
        <v>39</v>
      </c>
      <c r="K191">
        <v>2120.54</v>
      </c>
      <c r="L191">
        <v>2597.67</v>
      </c>
      <c r="M191" t="s">
        <v>25</v>
      </c>
      <c r="N191" s="30">
        <v>0.26</v>
      </c>
      <c r="O191" t="s">
        <v>47</v>
      </c>
      <c r="P191" t="s">
        <v>27</v>
      </c>
      <c r="Q191" t="s">
        <v>35</v>
      </c>
    </row>
    <row r="192" spans="1:17" x14ac:dyDescent="0.35">
      <c r="A192" t="s">
        <v>360</v>
      </c>
      <c r="B192">
        <v>1062</v>
      </c>
      <c r="C192" s="1">
        <v>45208</v>
      </c>
      <c r="D192" t="s">
        <v>135</v>
      </c>
      <c r="E192">
        <v>28</v>
      </c>
      <c r="F192" t="s">
        <v>54</v>
      </c>
      <c r="G192" t="s">
        <v>54</v>
      </c>
      <c r="H192" t="s">
        <v>23</v>
      </c>
      <c r="I192">
        <v>4</v>
      </c>
      <c r="J192" t="s">
        <v>51</v>
      </c>
      <c r="K192">
        <v>1581.59</v>
      </c>
      <c r="L192">
        <v>2034.15</v>
      </c>
      <c r="M192" t="s">
        <v>25</v>
      </c>
      <c r="N192" s="30">
        <v>0.21</v>
      </c>
      <c r="O192" t="s">
        <v>26</v>
      </c>
      <c r="P192" t="s">
        <v>27</v>
      </c>
      <c r="Q192" t="s">
        <v>35</v>
      </c>
    </row>
    <row r="193" spans="1:17" x14ac:dyDescent="0.35">
      <c r="A193" t="s">
        <v>361</v>
      </c>
      <c r="B193">
        <v>1097</v>
      </c>
      <c r="C193" s="1">
        <v>45225</v>
      </c>
      <c r="D193" t="s">
        <v>141</v>
      </c>
      <c r="E193">
        <v>53</v>
      </c>
      <c r="F193" t="s">
        <v>31</v>
      </c>
      <c r="G193" t="s">
        <v>32</v>
      </c>
      <c r="H193" t="s">
        <v>23</v>
      </c>
      <c r="I193">
        <v>27</v>
      </c>
      <c r="J193" t="s">
        <v>51</v>
      </c>
      <c r="K193">
        <v>4686.79</v>
      </c>
      <c r="L193">
        <v>5046.51</v>
      </c>
      <c r="M193" t="s">
        <v>25</v>
      </c>
      <c r="N193" s="30">
        <v>0.05</v>
      </c>
      <c r="O193" t="s">
        <v>47</v>
      </c>
      <c r="P193" t="s">
        <v>27</v>
      </c>
      <c r="Q193" t="s">
        <v>35</v>
      </c>
    </row>
    <row r="194" spans="1:17" x14ac:dyDescent="0.35">
      <c r="A194" t="s">
        <v>362</v>
      </c>
      <c r="B194">
        <v>1001</v>
      </c>
      <c r="C194" s="1">
        <v>45209</v>
      </c>
      <c r="D194" t="s">
        <v>272</v>
      </c>
      <c r="E194">
        <v>30</v>
      </c>
      <c r="F194" t="s">
        <v>100</v>
      </c>
      <c r="G194" t="s">
        <v>22</v>
      </c>
      <c r="H194" t="s">
        <v>44</v>
      </c>
      <c r="I194">
        <v>18</v>
      </c>
      <c r="J194" t="s">
        <v>24</v>
      </c>
      <c r="K194">
        <v>2602.6</v>
      </c>
      <c r="L194">
        <v>3013.49</v>
      </c>
      <c r="M194" t="s">
        <v>25</v>
      </c>
      <c r="N194" s="30">
        <v>0.08</v>
      </c>
      <c r="O194" t="s">
        <v>40</v>
      </c>
      <c r="P194" t="s">
        <v>27</v>
      </c>
      <c r="Q194" t="s">
        <v>35</v>
      </c>
    </row>
    <row r="195" spans="1:17" x14ac:dyDescent="0.35">
      <c r="A195" t="s">
        <v>363</v>
      </c>
      <c r="B195">
        <v>1027</v>
      </c>
      <c r="C195" s="1">
        <v>44995</v>
      </c>
      <c r="D195" t="s">
        <v>58</v>
      </c>
      <c r="E195">
        <v>60</v>
      </c>
      <c r="F195" t="s">
        <v>100</v>
      </c>
      <c r="G195" t="s">
        <v>54</v>
      </c>
      <c r="H195" t="s">
        <v>33</v>
      </c>
      <c r="I195">
        <v>21</v>
      </c>
      <c r="J195" t="s">
        <v>39</v>
      </c>
      <c r="K195">
        <v>2511.41</v>
      </c>
      <c r="L195">
        <v>2848.4</v>
      </c>
      <c r="M195" t="s">
        <v>25</v>
      </c>
      <c r="N195" s="30">
        <v>0.06</v>
      </c>
      <c r="O195" t="s">
        <v>40</v>
      </c>
      <c r="P195" t="s">
        <v>27</v>
      </c>
      <c r="Q195" t="s">
        <v>28</v>
      </c>
    </row>
    <row r="196" spans="1:17" x14ac:dyDescent="0.35">
      <c r="A196" t="s">
        <v>364</v>
      </c>
      <c r="B196">
        <v>1062</v>
      </c>
      <c r="C196" s="1">
        <v>45074</v>
      </c>
      <c r="D196" t="s">
        <v>309</v>
      </c>
      <c r="E196">
        <v>20</v>
      </c>
      <c r="F196" t="s">
        <v>65</v>
      </c>
      <c r="G196" t="s">
        <v>22</v>
      </c>
      <c r="H196" t="s">
        <v>33</v>
      </c>
      <c r="I196">
        <v>28</v>
      </c>
      <c r="J196" t="s">
        <v>51</v>
      </c>
      <c r="K196">
        <v>933.16</v>
      </c>
      <c r="L196">
        <v>1004.7</v>
      </c>
      <c r="M196" t="s">
        <v>25</v>
      </c>
      <c r="N196" s="30">
        <v>0.18</v>
      </c>
      <c r="O196" t="s">
        <v>40</v>
      </c>
      <c r="P196" t="s">
        <v>27</v>
      </c>
      <c r="Q196" t="s">
        <v>41</v>
      </c>
    </row>
    <row r="197" spans="1:17" x14ac:dyDescent="0.35">
      <c r="A197" t="s">
        <v>365</v>
      </c>
      <c r="B197">
        <v>1077</v>
      </c>
      <c r="C197" s="1">
        <v>44937</v>
      </c>
      <c r="D197" t="s">
        <v>182</v>
      </c>
      <c r="E197">
        <v>50</v>
      </c>
      <c r="F197" t="s">
        <v>21</v>
      </c>
      <c r="G197" t="s">
        <v>38</v>
      </c>
      <c r="H197" t="s">
        <v>23</v>
      </c>
      <c r="I197">
        <v>35</v>
      </c>
      <c r="J197" t="s">
        <v>51</v>
      </c>
      <c r="K197">
        <v>585.37</v>
      </c>
      <c r="L197">
        <v>970.49</v>
      </c>
      <c r="M197" t="s">
        <v>25</v>
      </c>
      <c r="N197" s="30">
        <v>0.15</v>
      </c>
      <c r="O197" t="s">
        <v>40</v>
      </c>
      <c r="P197" t="s">
        <v>34</v>
      </c>
      <c r="Q197" t="s">
        <v>28</v>
      </c>
    </row>
    <row r="198" spans="1:17" x14ac:dyDescent="0.35">
      <c r="A198" t="s">
        <v>366</v>
      </c>
      <c r="B198">
        <v>1003</v>
      </c>
      <c r="C198" s="1">
        <v>45180</v>
      </c>
      <c r="D198" t="s">
        <v>287</v>
      </c>
      <c r="E198">
        <v>23</v>
      </c>
      <c r="F198" t="s">
        <v>54</v>
      </c>
      <c r="G198" t="s">
        <v>38</v>
      </c>
      <c r="H198" t="s">
        <v>23</v>
      </c>
      <c r="I198">
        <v>22</v>
      </c>
      <c r="J198" t="s">
        <v>39</v>
      </c>
      <c r="K198">
        <v>4218.43</v>
      </c>
      <c r="L198">
        <v>5331.42</v>
      </c>
      <c r="M198" t="s">
        <v>46</v>
      </c>
      <c r="N198" s="30">
        <v>0.26</v>
      </c>
      <c r="O198" t="s">
        <v>40</v>
      </c>
      <c r="P198" t="s">
        <v>34</v>
      </c>
      <c r="Q198" t="s">
        <v>41</v>
      </c>
    </row>
    <row r="199" spans="1:17" x14ac:dyDescent="0.35">
      <c r="A199" t="s">
        <v>367</v>
      </c>
      <c r="B199">
        <v>1070</v>
      </c>
      <c r="C199" s="1">
        <v>45256</v>
      </c>
      <c r="D199" t="s">
        <v>368</v>
      </c>
      <c r="E199">
        <v>27</v>
      </c>
      <c r="F199" t="s">
        <v>54</v>
      </c>
      <c r="G199" t="s">
        <v>81</v>
      </c>
      <c r="H199" t="s">
        <v>33</v>
      </c>
      <c r="I199">
        <v>40</v>
      </c>
      <c r="J199" t="s">
        <v>24</v>
      </c>
      <c r="K199">
        <v>3089.96</v>
      </c>
      <c r="L199">
        <v>4058.45</v>
      </c>
      <c r="M199" t="s">
        <v>46</v>
      </c>
      <c r="N199" s="30">
        <v>0.28999999999999998</v>
      </c>
      <c r="O199" t="s">
        <v>26</v>
      </c>
      <c r="P199" t="s">
        <v>34</v>
      </c>
      <c r="Q199" t="s">
        <v>35</v>
      </c>
    </row>
    <row r="200" spans="1:17" x14ac:dyDescent="0.35">
      <c r="A200" t="s">
        <v>369</v>
      </c>
      <c r="B200">
        <v>1072</v>
      </c>
      <c r="C200" s="1">
        <v>45286</v>
      </c>
      <c r="D200" t="s">
        <v>327</v>
      </c>
      <c r="E200">
        <v>22</v>
      </c>
      <c r="F200" t="s">
        <v>31</v>
      </c>
      <c r="G200" t="s">
        <v>32</v>
      </c>
      <c r="H200" t="s">
        <v>50</v>
      </c>
      <c r="I200">
        <v>23</v>
      </c>
      <c r="J200" t="s">
        <v>24</v>
      </c>
      <c r="K200">
        <v>1662.83</v>
      </c>
      <c r="L200">
        <v>2074.25</v>
      </c>
      <c r="M200" t="s">
        <v>46</v>
      </c>
      <c r="N200" s="30">
        <v>0.12</v>
      </c>
      <c r="O200" t="s">
        <v>40</v>
      </c>
      <c r="P200" t="s">
        <v>34</v>
      </c>
      <c r="Q200" t="s">
        <v>41</v>
      </c>
    </row>
    <row r="201" spans="1:17" x14ac:dyDescent="0.35">
      <c r="A201" t="s">
        <v>370</v>
      </c>
      <c r="B201">
        <v>1027</v>
      </c>
      <c r="C201" s="1">
        <v>44964</v>
      </c>
      <c r="D201" t="s">
        <v>108</v>
      </c>
      <c r="E201">
        <v>40</v>
      </c>
      <c r="F201" t="s">
        <v>31</v>
      </c>
      <c r="G201" t="s">
        <v>22</v>
      </c>
      <c r="H201" t="s">
        <v>44</v>
      </c>
      <c r="I201">
        <v>3</v>
      </c>
      <c r="J201" t="s">
        <v>39</v>
      </c>
      <c r="K201">
        <v>999.09</v>
      </c>
      <c r="L201">
        <v>1271.99</v>
      </c>
      <c r="M201" t="s">
        <v>46</v>
      </c>
      <c r="N201" s="30">
        <v>0.15</v>
      </c>
      <c r="O201" t="s">
        <v>47</v>
      </c>
      <c r="P201" t="s">
        <v>34</v>
      </c>
      <c r="Q201" t="s">
        <v>28</v>
      </c>
    </row>
    <row r="202" spans="1:17" x14ac:dyDescent="0.35">
      <c r="A202" t="s">
        <v>371</v>
      </c>
      <c r="B202">
        <v>1009</v>
      </c>
      <c r="C202" s="1">
        <v>45060</v>
      </c>
      <c r="D202" t="s">
        <v>108</v>
      </c>
      <c r="E202">
        <v>27</v>
      </c>
      <c r="F202" t="s">
        <v>54</v>
      </c>
      <c r="G202" t="s">
        <v>54</v>
      </c>
      <c r="H202" t="s">
        <v>23</v>
      </c>
      <c r="I202">
        <v>40</v>
      </c>
      <c r="J202" t="s">
        <v>24</v>
      </c>
      <c r="K202">
        <v>2799.71</v>
      </c>
      <c r="L202">
        <v>4231.08</v>
      </c>
      <c r="M202" t="s">
        <v>25</v>
      </c>
      <c r="N202" s="30">
        <v>0.28999999999999998</v>
      </c>
      <c r="O202" t="s">
        <v>47</v>
      </c>
      <c r="P202" t="s">
        <v>34</v>
      </c>
      <c r="Q202" t="s">
        <v>28</v>
      </c>
    </row>
    <row r="203" spans="1:17" x14ac:dyDescent="0.35">
      <c r="A203" t="s">
        <v>372</v>
      </c>
      <c r="B203">
        <v>1062</v>
      </c>
      <c r="C203" s="1">
        <v>45126</v>
      </c>
      <c r="D203" t="s">
        <v>148</v>
      </c>
      <c r="E203">
        <v>61</v>
      </c>
      <c r="F203" t="s">
        <v>31</v>
      </c>
      <c r="G203" t="s">
        <v>38</v>
      </c>
      <c r="H203" t="s">
        <v>23</v>
      </c>
      <c r="I203">
        <v>10</v>
      </c>
      <c r="J203" t="s">
        <v>51</v>
      </c>
      <c r="K203">
        <v>2940.4</v>
      </c>
      <c r="L203">
        <v>3054.79</v>
      </c>
      <c r="M203" t="s">
        <v>25</v>
      </c>
      <c r="N203" s="30">
        <v>0.08</v>
      </c>
      <c r="O203" t="s">
        <v>47</v>
      </c>
      <c r="P203" t="s">
        <v>27</v>
      </c>
      <c r="Q203" t="s">
        <v>35</v>
      </c>
    </row>
    <row r="204" spans="1:17" x14ac:dyDescent="0.35">
      <c r="A204" t="s">
        <v>373</v>
      </c>
      <c r="B204">
        <v>1037</v>
      </c>
      <c r="C204" s="1">
        <v>44949</v>
      </c>
      <c r="D204" t="s">
        <v>374</v>
      </c>
      <c r="E204">
        <v>19</v>
      </c>
      <c r="F204" t="s">
        <v>65</v>
      </c>
      <c r="G204" t="s">
        <v>81</v>
      </c>
      <c r="H204" t="s">
        <v>33</v>
      </c>
      <c r="I204">
        <v>25</v>
      </c>
      <c r="J204" t="s">
        <v>39</v>
      </c>
      <c r="K204">
        <v>1074.6199999999999</v>
      </c>
      <c r="L204">
        <v>1382.43</v>
      </c>
      <c r="M204" t="s">
        <v>25</v>
      </c>
      <c r="N204" s="30">
        <v>0.24</v>
      </c>
      <c r="O204" t="s">
        <v>47</v>
      </c>
      <c r="P204" t="s">
        <v>27</v>
      </c>
      <c r="Q204" t="s">
        <v>28</v>
      </c>
    </row>
    <row r="205" spans="1:17" x14ac:dyDescent="0.35">
      <c r="A205" t="s">
        <v>375</v>
      </c>
      <c r="B205">
        <v>1097</v>
      </c>
      <c r="C205" s="1">
        <v>45229</v>
      </c>
      <c r="D205" t="s">
        <v>170</v>
      </c>
      <c r="E205">
        <v>30</v>
      </c>
      <c r="F205" t="s">
        <v>54</v>
      </c>
      <c r="G205" t="s">
        <v>81</v>
      </c>
      <c r="H205" t="s">
        <v>44</v>
      </c>
      <c r="I205">
        <v>49</v>
      </c>
      <c r="J205" t="s">
        <v>51</v>
      </c>
      <c r="K205">
        <v>4264.46</v>
      </c>
      <c r="L205">
        <v>4315.5200000000004</v>
      </c>
      <c r="M205" t="s">
        <v>46</v>
      </c>
      <c r="N205" s="30">
        <v>7.0000000000000007E-2</v>
      </c>
      <c r="O205" t="s">
        <v>26</v>
      </c>
      <c r="P205" t="s">
        <v>34</v>
      </c>
      <c r="Q205" t="s">
        <v>35</v>
      </c>
    </row>
    <row r="206" spans="1:17" x14ac:dyDescent="0.35">
      <c r="A206" t="s">
        <v>376</v>
      </c>
      <c r="B206">
        <v>1051</v>
      </c>
      <c r="C206" s="1">
        <v>45272</v>
      </c>
      <c r="D206" t="s">
        <v>156</v>
      </c>
      <c r="E206">
        <v>57</v>
      </c>
      <c r="F206" t="s">
        <v>31</v>
      </c>
      <c r="G206" t="s">
        <v>22</v>
      </c>
      <c r="H206" t="s">
        <v>33</v>
      </c>
      <c r="I206">
        <v>8</v>
      </c>
      <c r="J206" t="s">
        <v>45</v>
      </c>
      <c r="K206">
        <v>467.11</v>
      </c>
      <c r="L206">
        <v>792.21</v>
      </c>
      <c r="M206" t="s">
        <v>46</v>
      </c>
      <c r="N206" s="30">
        <v>0.2</v>
      </c>
      <c r="O206" t="s">
        <v>47</v>
      </c>
      <c r="P206" t="s">
        <v>34</v>
      </c>
      <c r="Q206" t="s">
        <v>28</v>
      </c>
    </row>
    <row r="207" spans="1:17" x14ac:dyDescent="0.35">
      <c r="A207" t="s">
        <v>377</v>
      </c>
      <c r="B207">
        <v>1044</v>
      </c>
      <c r="C207" s="1">
        <v>45228</v>
      </c>
      <c r="D207" t="s">
        <v>298</v>
      </c>
      <c r="E207">
        <v>19</v>
      </c>
      <c r="F207" t="s">
        <v>54</v>
      </c>
      <c r="G207" t="s">
        <v>38</v>
      </c>
      <c r="H207" t="s">
        <v>44</v>
      </c>
      <c r="I207">
        <v>11</v>
      </c>
      <c r="J207" t="s">
        <v>45</v>
      </c>
      <c r="K207">
        <v>1812.66</v>
      </c>
      <c r="L207">
        <v>2196.3000000000002</v>
      </c>
      <c r="M207" t="s">
        <v>46</v>
      </c>
      <c r="N207" s="30">
        <v>0.08</v>
      </c>
      <c r="O207" t="s">
        <v>26</v>
      </c>
      <c r="P207" t="s">
        <v>27</v>
      </c>
      <c r="Q207" t="s">
        <v>28</v>
      </c>
    </row>
    <row r="208" spans="1:17" x14ac:dyDescent="0.35">
      <c r="A208" t="s">
        <v>378</v>
      </c>
      <c r="B208">
        <v>1024</v>
      </c>
      <c r="C208" s="1">
        <v>45289</v>
      </c>
      <c r="D208" t="s">
        <v>246</v>
      </c>
      <c r="E208">
        <v>37</v>
      </c>
      <c r="F208" t="s">
        <v>21</v>
      </c>
      <c r="G208" t="s">
        <v>32</v>
      </c>
      <c r="H208" t="s">
        <v>44</v>
      </c>
      <c r="I208">
        <v>5</v>
      </c>
      <c r="J208" t="s">
        <v>24</v>
      </c>
      <c r="K208">
        <v>3417.9</v>
      </c>
      <c r="L208">
        <v>3714.52</v>
      </c>
      <c r="M208" t="s">
        <v>25</v>
      </c>
      <c r="N208" s="30">
        <v>0.27</v>
      </c>
      <c r="O208" t="s">
        <v>47</v>
      </c>
      <c r="P208" t="s">
        <v>27</v>
      </c>
      <c r="Q208" t="s">
        <v>35</v>
      </c>
    </row>
    <row r="209" spans="1:17" x14ac:dyDescent="0.35">
      <c r="A209" t="s">
        <v>379</v>
      </c>
      <c r="B209">
        <v>1079</v>
      </c>
      <c r="C209" s="1">
        <v>45144</v>
      </c>
      <c r="D209" t="s">
        <v>380</v>
      </c>
      <c r="E209">
        <v>18</v>
      </c>
      <c r="F209" t="s">
        <v>100</v>
      </c>
      <c r="G209" t="s">
        <v>38</v>
      </c>
      <c r="H209" t="s">
        <v>44</v>
      </c>
      <c r="I209">
        <v>45</v>
      </c>
      <c r="J209" t="s">
        <v>45</v>
      </c>
      <c r="K209">
        <v>1406.9</v>
      </c>
      <c r="L209">
        <v>1547.35</v>
      </c>
      <c r="M209" t="s">
        <v>46</v>
      </c>
      <c r="N209" s="30">
        <v>0.17</v>
      </c>
      <c r="O209" t="s">
        <v>26</v>
      </c>
      <c r="P209" t="s">
        <v>27</v>
      </c>
      <c r="Q209" t="s">
        <v>41</v>
      </c>
    </row>
    <row r="210" spans="1:17" x14ac:dyDescent="0.35">
      <c r="A210" t="s">
        <v>381</v>
      </c>
      <c r="B210">
        <v>1059</v>
      </c>
      <c r="C210" s="1">
        <v>45067</v>
      </c>
      <c r="D210" t="s">
        <v>382</v>
      </c>
      <c r="E210">
        <v>54</v>
      </c>
      <c r="F210" t="s">
        <v>54</v>
      </c>
      <c r="G210" t="s">
        <v>22</v>
      </c>
      <c r="H210" t="s">
        <v>23</v>
      </c>
      <c r="I210">
        <v>37</v>
      </c>
      <c r="J210" t="s">
        <v>51</v>
      </c>
      <c r="K210">
        <v>4146.99</v>
      </c>
      <c r="L210">
        <v>4172.3500000000004</v>
      </c>
      <c r="M210" t="s">
        <v>25</v>
      </c>
      <c r="N210" s="30">
        <v>0.06</v>
      </c>
      <c r="O210" t="s">
        <v>26</v>
      </c>
      <c r="P210" t="s">
        <v>34</v>
      </c>
      <c r="Q210" t="s">
        <v>28</v>
      </c>
    </row>
    <row r="211" spans="1:17" x14ac:dyDescent="0.35">
      <c r="A211" t="s">
        <v>383</v>
      </c>
      <c r="B211">
        <v>1032</v>
      </c>
      <c r="C211" s="1">
        <v>45030</v>
      </c>
      <c r="D211" t="s">
        <v>292</v>
      </c>
      <c r="E211">
        <v>26</v>
      </c>
      <c r="F211" t="s">
        <v>100</v>
      </c>
      <c r="G211" t="s">
        <v>22</v>
      </c>
      <c r="H211" t="s">
        <v>50</v>
      </c>
      <c r="I211">
        <v>45</v>
      </c>
      <c r="J211" t="s">
        <v>45</v>
      </c>
      <c r="K211">
        <v>3712.35</v>
      </c>
      <c r="L211">
        <v>3780.88</v>
      </c>
      <c r="M211" t="s">
        <v>46</v>
      </c>
      <c r="N211" s="30">
        <v>7.0000000000000007E-2</v>
      </c>
      <c r="O211" t="s">
        <v>26</v>
      </c>
      <c r="P211" t="s">
        <v>27</v>
      </c>
      <c r="Q211" t="s">
        <v>41</v>
      </c>
    </row>
    <row r="212" spans="1:17" x14ac:dyDescent="0.35">
      <c r="A212" t="s">
        <v>384</v>
      </c>
      <c r="B212">
        <v>1096</v>
      </c>
      <c r="C212" s="1">
        <v>45136</v>
      </c>
      <c r="D212" t="s">
        <v>64</v>
      </c>
      <c r="E212">
        <v>34</v>
      </c>
      <c r="F212" t="s">
        <v>31</v>
      </c>
      <c r="G212" t="s">
        <v>38</v>
      </c>
      <c r="H212" t="s">
        <v>33</v>
      </c>
      <c r="I212">
        <v>38</v>
      </c>
      <c r="J212" t="s">
        <v>51</v>
      </c>
      <c r="K212">
        <v>3955.66</v>
      </c>
      <c r="L212">
        <v>4270.59</v>
      </c>
      <c r="M212" t="s">
        <v>25</v>
      </c>
      <c r="N212" s="30">
        <v>0.15</v>
      </c>
      <c r="O212" t="s">
        <v>47</v>
      </c>
      <c r="P212" t="s">
        <v>34</v>
      </c>
      <c r="Q212" t="s">
        <v>28</v>
      </c>
    </row>
    <row r="213" spans="1:17" x14ac:dyDescent="0.35">
      <c r="A213" t="s">
        <v>385</v>
      </c>
      <c r="B213">
        <v>1088</v>
      </c>
      <c r="C213" s="1">
        <v>45037</v>
      </c>
      <c r="D213" t="s">
        <v>386</v>
      </c>
      <c r="E213">
        <v>26</v>
      </c>
      <c r="F213" t="s">
        <v>100</v>
      </c>
      <c r="G213" t="s">
        <v>22</v>
      </c>
      <c r="H213" t="s">
        <v>50</v>
      </c>
      <c r="I213">
        <v>29</v>
      </c>
      <c r="J213" t="s">
        <v>24</v>
      </c>
      <c r="K213">
        <v>639.58000000000004</v>
      </c>
      <c r="L213">
        <v>1107.45</v>
      </c>
      <c r="M213" t="s">
        <v>46</v>
      </c>
      <c r="N213" s="30">
        <v>0.28999999999999998</v>
      </c>
      <c r="O213" t="s">
        <v>26</v>
      </c>
      <c r="P213" t="s">
        <v>34</v>
      </c>
      <c r="Q213" t="s">
        <v>28</v>
      </c>
    </row>
    <row r="214" spans="1:17" x14ac:dyDescent="0.35">
      <c r="A214" t="s">
        <v>387</v>
      </c>
      <c r="B214">
        <v>1052</v>
      </c>
      <c r="C214" s="1">
        <v>45030</v>
      </c>
      <c r="D214" t="s">
        <v>274</v>
      </c>
      <c r="E214">
        <v>28</v>
      </c>
      <c r="F214" t="s">
        <v>54</v>
      </c>
      <c r="G214" t="s">
        <v>38</v>
      </c>
      <c r="H214" t="s">
        <v>33</v>
      </c>
      <c r="I214">
        <v>5</v>
      </c>
      <c r="J214" t="s">
        <v>24</v>
      </c>
      <c r="K214">
        <v>745.71</v>
      </c>
      <c r="L214">
        <v>856.91</v>
      </c>
      <c r="M214" t="s">
        <v>25</v>
      </c>
      <c r="N214" s="30">
        <v>0.23</v>
      </c>
      <c r="O214" t="s">
        <v>40</v>
      </c>
      <c r="P214" t="s">
        <v>27</v>
      </c>
      <c r="Q214" t="s">
        <v>28</v>
      </c>
    </row>
    <row r="215" spans="1:17" x14ac:dyDescent="0.35">
      <c r="A215" t="s">
        <v>388</v>
      </c>
      <c r="B215">
        <v>1062</v>
      </c>
      <c r="C215" s="1">
        <v>45242</v>
      </c>
      <c r="D215" t="s">
        <v>222</v>
      </c>
      <c r="E215">
        <v>32</v>
      </c>
      <c r="F215" t="s">
        <v>21</v>
      </c>
      <c r="G215" t="s">
        <v>54</v>
      </c>
      <c r="H215" t="s">
        <v>44</v>
      </c>
      <c r="I215">
        <v>9</v>
      </c>
      <c r="J215" t="s">
        <v>51</v>
      </c>
      <c r="K215">
        <v>1468.05</v>
      </c>
      <c r="L215">
        <v>1838.21</v>
      </c>
      <c r="M215" t="s">
        <v>46</v>
      </c>
      <c r="N215" s="30">
        <v>0.15</v>
      </c>
      <c r="O215" t="s">
        <v>40</v>
      </c>
      <c r="P215" t="s">
        <v>27</v>
      </c>
      <c r="Q215" t="s">
        <v>28</v>
      </c>
    </row>
    <row r="216" spans="1:17" x14ac:dyDescent="0.35">
      <c r="A216" t="s">
        <v>389</v>
      </c>
      <c r="B216">
        <v>1058</v>
      </c>
      <c r="C216" s="1">
        <v>45097</v>
      </c>
      <c r="D216" t="s">
        <v>390</v>
      </c>
      <c r="E216">
        <v>41</v>
      </c>
      <c r="F216" t="s">
        <v>31</v>
      </c>
      <c r="G216" t="s">
        <v>38</v>
      </c>
      <c r="H216" t="s">
        <v>23</v>
      </c>
      <c r="I216">
        <v>48</v>
      </c>
      <c r="J216" t="s">
        <v>45</v>
      </c>
      <c r="K216">
        <v>2614.48</v>
      </c>
      <c r="L216">
        <v>3049.04</v>
      </c>
      <c r="M216" t="s">
        <v>46</v>
      </c>
      <c r="N216" s="30">
        <v>0.1</v>
      </c>
      <c r="O216" t="s">
        <v>47</v>
      </c>
      <c r="P216" t="s">
        <v>34</v>
      </c>
      <c r="Q216" t="s">
        <v>41</v>
      </c>
    </row>
    <row r="217" spans="1:17" x14ac:dyDescent="0.35">
      <c r="A217" t="s">
        <v>391</v>
      </c>
      <c r="B217">
        <v>1052</v>
      </c>
      <c r="C217" s="1">
        <v>45282</v>
      </c>
      <c r="D217" t="s">
        <v>392</v>
      </c>
      <c r="E217">
        <v>55</v>
      </c>
      <c r="F217" t="s">
        <v>54</v>
      </c>
      <c r="G217" t="s">
        <v>38</v>
      </c>
      <c r="H217" t="s">
        <v>50</v>
      </c>
      <c r="I217">
        <v>2</v>
      </c>
      <c r="J217" t="s">
        <v>24</v>
      </c>
      <c r="K217">
        <v>3752.68</v>
      </c>
      <c r="L217">
        <v>4017.91</v>
      </c>
      <c r="M217" t="s">
        <v>25</v>
      </c>
      <c r="N217" s="30">
        <v>0.16</v>
      </c>
      <c r="O217" t="s">
        <v>40</v>
      </c>
      <c r="P217" t="s">
        <v>27</v>
      </c>
      <c r="Q217" t="s">
        <v>41</v>
      </c>
    </row>
    <row r="218" spans="1:17" x14ac:dyDescent="0.35">
      <c r="A218" t="s">
        <v>393</v>
      </c>
      <c r="B218">
        <v>1012</v>
      </c>
      <c r="C218" s="1">
        <v>45250</v>
      </c>
      <c r="D218" t="s">
        <v>119</v>
      </c>
      <c r="E218">
        <v>52</v>
      </c>
      <c r="F218" t="s">
        <v>31</v>
      </c>
      <c r="G218" t="s">
        <v>22</v>
      </c>
      <c r="H218" t="s">
        <v>23</v>
      </c>
      <c r="I218">
        <v>1</v>
      </c>
      <c r="J218" t="s">
        <v>39</v>
      </c>
      <c r="K218">
        <v>4190.83</v>
      </c>
      <c r="L218">
        <v>4528.7700000000004</v>
      </c>
      <c r="M218" t="s">
        <v>25</v>
      </c>
      <c r="N218" s="30">
        <v>0.22</v>
      </c>
      <c r="O218" t="s">
        <v>40</v>
      </c>
      <c r="P218" t="s">
        <v>27</v>
      </c>
      <c r="Q218" t="s">
        <v>28</v>
      </c>
    </row>
    <row r="219" spans="1:17" x14ac:dyDescent="0.35">
      <c r="A219" t="s">
        <v>394</v>
      </c>
      <c r="B219">
        <v>1039</v>
      </c>
      <c r="C219" s="1">
        <v>45059</v>
      </c>
      <c r="D219" t="s">
        <v>145</v>
      </c>
      <c r="E219">
        <v>47</v>
      </c>
      <c r="F219" t="s">
        <v>65</v>
      </c>
      <c r="G219" t="s">
        <v>22</v>
      </c>
      <c r="H219" t="s">
        <v>33</v>
      </c>
      <c r="I219">
        <v>40</v>
      </c>
      <c r="J219" t="s">
        <v>24</v>
      </c>
      <c r="K219">
        <v>3536.46</v>
      </c>
      <c r="L219">
        <v>3945.82</v>
      </c>
      <c r="M219" t="s">
        <v>46</v>
      </c>
      <c r="N219" s="30">
        <v>0.12</v>
      </c>
      <c r="O219" t="s">
        <v>40</v>
      </c>
      <c r="P219" t="s">
        <v>34</v>
      </c>
      <c r="Q219" t="s">
        <v>28</v>
      </c>
    </row>
    <row r="220" spans="1:17" x14ac:dyDescent="0.35">
      <c r="A220" t="s">
        <v>395</v>
      </c>
      <c r="B220">
        <v>1002</v>
      </c>
      <c r="C220" s="1">
        <v>45219</v>
      </c>
      <c r="D220" t="s">
        <v>396</v>
      </c>
      <c r="E220">
        <v>48</v>
      </c>
      <c r="F220" t="s">
        <v>100</v>
      </c>
      <c r="G220" t="s">
        <v>81</v>
      </c>
      <c r="H220" t="s">
        <v>23</v>
      </c>
      <c r="I220">
        <v>30</v>
      </c>
      <c r="J220" t="s">
        <v>45</v>
      </c>
      <c r="K220">
        <v>4646.55</v>
      </c>
      <c r="L220">
        <v>5384.28</v>
      </c>
      <c r="M220" t="s">
        <v>25</v>
      </c>
      <c r="N220" s="30">
        <v>0.1</v>
      </c>
      <c r="O220" t="s">
        <v>47</v>
      </c>
      <c r="P220" t="s">
        <v>27</v>
      </c>
      <c r="Q220" t="s">
        <v>41</v>
      </c>
    </row>
    <row r="221" spans="1:17" x14ac:dyDescent="0.35">
      <c r="A221" t="s">
        <v>397</v>
      </c>
      <c r="B221">
        <v>1003</v>
      </c>
      <c r="C221" s="1">
        <v>45254</v>
      </c>
      <c r="D221" t="s">
        <v>145</v>
      </c>
      <c r="E221">
        <v>22</v>
      </c>
      <c r="F221" t="s">
        <v>65</v>
      </c>
      <c r="G221" t="s">
        <v>81</v>
      </c>
      <c r="H221" t="s">
        <v>23</v>
      </c>
      <c r="I221">
        <v>11</v>
      </c>
      <c r="J221" t="s">
        <v>39</v>
      </c>
      <c r="K221">
        <v>3706.78</v>
      </c>
      <c r="L221">
        <v>3862.26</v>
      </c>
      <c r="M221" t="s">
        <v>46</v>
      </c>
      <c r="N221" s="30">
        <v>0.22</v>
      </c>
      <c r="O221" t="s">
        <v>47</v>
      </c>
      <c r="P221" t="s">
        <v>34</v>
      </c>
      <c r="Q221" t="s">
        <v>35</v>
      </c>
    </row>
    <row r="222" spans="1:17" x14ac:dyDescent="0.35">
      <c r="A222" t="s">
        <v>398</v>
      </c>
      <c r="B222">
        <v>1056</v>
      </c>
      <c r="C222" s="1">
        <v>45053</v>
      </c>
      <c r="D222" t="s">
        <v>156</v>
      </c>
      <c r="E222">
        <v>61</v>
      </c>
      <c r="F222" t="s">
        <v>54</v>
      </c>
      <c r="G222" t="s">
        <v>54</v>
      </c>
      <c r="H222" t="s">
        <v>50</v>
      </c>
      <c r="I222">
        <v>28</v>
      </c>
      <c r="J222" t="s">
        <v>45</v>
      </c>
      <c r="K222">
        <v>1566.03</v>
      </c>
      <c r="L222">
        <v>1576.34</v>
      </c>
      <c r="M222" t="s">
        <v>25</v>
      </c>
      <c r="N222" s="30">
        <v>0.2</v>
      </c>
      <c r="O222" t="s">
        <v>40</v>
      </c>
      <c r="P222" t="s">
        <v>34</v>
      </c>
      <c r="Q222" t="s">
        <v>35</v>
      </c>
    </row>
    <row r="223" spans="1:17" x14ac:dyDescent="0.35">
      <c r="A223" t="s">
        <v>399</v>
      </c>
      <c r="B223">
        <v>1081</v>
      </c>
      <c r="C223" s="1">
        <v>45032</v>
      </c>
      <c r="D223" t="s">
        <v>400</v>
      </c>
      <c r="E223">
        <v>31</v>
      </c>
      <c r="F223" t="s">
        <v>21</v>
      </c>
      <c r="G223" t="s">
        <v>81</v>
      </c>
      <c r="H223" t="s">
        <v>44</v>
      </c>
      <c r="I223">
        <v>44</v>
      </c>
      <c r="J223" t="s">
        <v>51</v>
      </c>
      <c r="K223">
        <v>1362.15</v>
      </c>
      <c r="L223">
        <v>1844.07</v>
      </c>
      <c r="M223" t="s">
        <v>46</v>
      </c>
      <c r="N223" s="30">
        <v>0.28999999999999998</v>
      </c>
      <c r="O223" t="s">
        <v>47</v>
      </c>
      <c r="P223" t="s">
        <v>27</v>
      </c>
      <c r="Q223" t="s">
        <v>41</v>
      </c>
    </row>
    <row r="224" spans="1:17" x14ac:dyDescent="0.35">
      <c r="A224" t="s">
        <v>401</v>
      </c>
      <c r="B224">
        <v>1059</v>
      </c>
      <c r="C224" s="1">
        <v>45018</v>
      </c>
      <c r="D224" t="s">
        <v>402</v>
      </c>
      <c r="E224">
        <v>28</v>
      </c>
      <c r="F224" t="s">
        <v>31</v>
      </c>
      <c r="G224" t="s">
        <v>38</v>
      </c>
      <c r="H224" t="s">
        <v>23</v>
      </c>
      <c r="I224">
        <v>12</v>
      </c>
      <c r="J224" t="s">
        <v>39</v>
      </c>
      <c r="K224">
        <v>3496.15</v>
      </c>
      <c r="L224">
        <v>3955.75</v>
      </c>
      <c r="M224" t="s">
        <v>25</v>
      </c>
      <c r="N224" s="30">
        <v>0.28000000000000003</v>
      </c>
      <c r="O224" t="s">
        <v>26</v>
      </c>
      <c r="P224" t="s">
        <v>34</v>
      </c>
      <c r="Q224" t="s">
        <v>28</v>
      </c>
    </row>
    <row r="225" spans="1:17" x14ac:dyDescent="0.35">
      <c r="A225" t="s">
        <v>403</v>
      </c>
      <c r="B225">
        <v>1002</v>
      </c>
      <c r="C225" s="1">
        <v>45213</v>
      </c>
      <c r="D225" t="s">
        <v>404</v>
      </c>
      <c r="E225">
        <v>26</v>
      </c>
      <c r="F225" t="s">
        <v>100</v>
      </c>
      <c r="G225" t="s">
        <v>22</v>
      </c>
      <c r="H225" t="s">
        <v>44</v>
      </c>
      <c r="I225">
        <v>39</v>
      </c>
      <c r="J225" t="s">
        <v>45</v>
      </c>
      <c r="K225">
        <v>1004.71</v>
      </c>
      <c r="L225">
        <v>1389.35</v>
      </c>
      <c r="M225" t="s">
        <v>46</v>
      </c>
      <c r="N225" s="30">
        <v>0.24</v>
      </c>
      <c r="O225" t="s">
        <v>40</v>
      </c>
      <c r="P225" t="s">
        <v>34</v>
      </c>
      <c r="Q225" t="s">
        <v>28</v>
      </c>
    </row>
    <row r="226" spans="1:17" x14ac:dyDescent="0.35">
      <c r="A226" t="s">
        <v>405</v>
      </c>
      <c r="B226">
        <v>1002</v>
      </c>
      <c r="C226" s="1">
        <v>44977</v>
      </c>
      <c r="D226" t="s">
        <v>374</v>
      </c>
      <c r="E226">
        <v>51</v>
      </c>
      <c r="F226" t="s">
        <v>31</v>
      </c>
      <c r="G226" t="s">
        <v>81</v>
      </c>
      <c r="H226" t="s">
        <v>33</v>
      </c>
      <c r="I226">
        <v>26</v>
      </c>
      <c r="J226" t="s">
        <v>39</v>
      </c>
      <c r="K226">
        <v>508.94</v>
      </c>
      <c r="L226">
        <v>557.69000000000005</v>
      </c>
      <c r="M226" t="s">
        <v>46</v>
      </c>
      <c r="N226" s="30">
        <v>0.22</v>
      </c>
      <c r="O226" t="s">
        <v>47</v>
      </c>
      <c r="P226" t="s">
        <v>27</v>
      </c>
      <c r="Q226" t="s">
        <v>35</v>
      </c>
    </row>
    <row r="227" spans="1:17" x14ac:dyDescent="0.35">
      <c r="A227" t="s">
        <v>406</v>
      </c>
      <c r="B227">
        <v>1092</v>
      </c>
      <c r="C227" s="1">
        <v>44955</v>
      </c>
      <c r="D227" t="s">
        <v>176</v>
      </c>
      <c r="E227">
        <v>29</v>
      </c>
      <c r="F227" t="s">
        <v>54</v>
      </c>
      <c r="G227" t="s">
        <v>81</v>
      </c>
      <c r="H227" t="s">
        <v>23</v>
      </c>
      <c r="I227">
        <v>13</v>
      </c>
      <c r="J227" t="s">
        <v>45</v>
      </c>
      <c r="K227">
        <v>2684.5</v>
      </c>
      <c r="L227">
        <v>2913.78</v>
      </c>
      <c r="M227" t="s">
        <v>46</v>
      </c>
      <c r="N227" s="30">
        <v>0.08</v>
      </c>
      <c r="O227" t="s">
        <v>47</v>
      </c>
      <c r="P227" t="s">
        <v>27</v>
      </c>
      <c r="Q227" t="s">
        <v>35</v>
      </c>
    </row>
    <row r="228" spans="1:17" x14ac:dyDescent="0.35">
      <c r="A228" t="s">
        <v>407</v>
      </c>
      <c r="B228">
        <v>1054</v>
      </c>
      <c r="C228" s="1">
        <v>45222</v>
      </c>
      <c r="D228" t="s">
        <v>296</v>
      </c>
      <c r="E228">
        <v>52</v>
      </c>
      <c r="F228" t="s">
        <v>31</v>
      </c>
      <c r="G228" t="s">
        <v>54</v>
      </c>
      <c r="H228" t="s">
        <v>50</v>
      </c>
      <c r="I228">
        <v>8</v>
      </c>
      <c r="J228" t="s">
        <v>39</v>
      </c>
      <c r="K228">
        <v>4117.13</v>
      </c>
      <c r="L228">
        <v>4177.0600000000004</v>
      </c>
      <c r="M228" t="s">
        <v>25</v>
      </c>
      <c r="N228" s="30">
        <v>0.25</v>
      </c>
      <c r="O228" t="s">
        <v>40</v>
      </c>
      <c r="P228" t="s">
        <v>27</v>
      </c>
      <c r="Q228" t="s">
        <v>41</v>
      </c>
    </row>
    <row r="229" spans="1:17" x14ac:dyDescent="0.35">
      <c r="A229" t="s">
        <v>408</v>
      </c>
      <c r="B229">
        <v>1087</v>
      </c>
      <c r="C229" s="1">
        <v>45223</v>
      </c>
      <c r="D229" t="s">
        <v>143</v>
      </c>
      <c r="E229">
        <v>52</v>
      </c>
      <c r="F229" t="s">
        <v>100</v>
      </c>
      <c r="G229" t="s">
        <v>54</v>
      </c>
      <c r="H229" t="s">
        <v>33</v>
      </c>
      <c r="I229">
        <v>28</v>
      </c>
      <c r="J229" t="s">
        <v>45</v>
      </c>
      <c r="K229">
        <v>551.83000000000004</v>
      </c>
      <c r="L229">
        <v>569.63</v>
      </c>
      <c r="M229" t="s">
        <v>46</v>
      </c>
      <c r="N229" s="30">
        <v>0.13</v>
      </c>
      <c r="O229" t="s">
        <v>47</v>
      </c>
      <c r="P229" t="s">
        <v>34</v>
      </c>
      <c r="Q229" t="s">
        <v>35</v>
      </c>
    </row>
    <row r="230" spans="1:17" x14ac:dyDescent="0.35">
      <c r="A230" t="s">
        <v>409</v>
      </c>
      <c r="B230">
        <v>1096</v>
      </c>
      <c r="C230" s="1">
        <v>45140</v>
      </c>
      <c r="D230" t="s">
        <v>270</v>
      </c>
      <c r="E230">
        <v>18</v>
      </c>
      <c r="F230" t="s">
        <v>54</v>
      </c>
      <c r="G230" t="s">
        <v>38</v>
      </c>
      <c r="H230" t="s">
        <v>33</v>
      </c>
      <c r="I230">
        <v>30</v>
      </c>
      <c r="J230" t="s">
        <v>51</v>
      </c>
      <c r="K230">
        <v>3969.86</v>
      </c>
      <c r="L230">
        <v>4281.79</v>
      </c>
      <c r="M230" t="s">
        <v>25</v>
      </c>
      <c r="N230" s="30">
        <v>0.08</v>
      </c>
      <c r="O230" t="s">
        <v>40</v>
      </c>
      <c r="P230" t="s">
        <v>34</v>
      </c>
      <c r="Q230" t="s">
        <v>41</v>
      </c>
    </row>
    <row r="231" spans="1:17" x14ac:dyDescent="0.35">
      <c r="A231" t="s">
        <v>410</v>
      </c>
      <c r="B231">
        <v>1097</v>
      </c>
      <c r="C231" s="1">
        <v>45193</v>
      </c>
      <c r="D231" t="s">
        <v>411</v>
      </c>
      <c r="E231">
        <v>57</v>
      </c>
      <c r="F231" t="s">
        <v>31</v>
      </c>
      <c r="G231" t="s">
        <v>22</v>
      </c>
      <c r="H231" t="s">
        <v>50</v>
      </c>
      <c r="I231">
        <v>9</v>
      </c>
      <c r="J231" t="s">
        <v>39</v>
      </c>
      <c r="K231">
        <v>4067.28</v>
      </c>
      <c r="L231">
        <v>4548.09</v>
      </c>
      <c r="M231" t="s">
        <v>25</v>
      </c>
      <c r="N231" s="30">
        <v>0.12</v>
      </c>
      <c r="O231" t="s">
        <v>47</v>
      </c>
      <c r="P231" t="s">
        <v>27</v>
      </c>
      <c r="Q231" t="s">
        <v>35</v>
      </c>
    </row>
    <row r="232" spans="1:17" x14ac:dyDescent="0.35">
      <c r="A232" t="s">
        <v>412</v>
      </c>
      <c r="B232">
        <v>1001</v>
      </c>
      <c r="C232" s="1">
        <v>45183</v>
      </c>
      <c r="D232" t="s">
        <v>86</v>
      </c>
      <c r="E232">
        <v>39</v>
      </c>
      <c r="F232" t="s">
        <v>21</v>
      </c>
      <c r="G232" t="s">
        <v>54</v>
      </c>
      <c r="H232" t="s">
        <v>23</v>
      </c>
      <c r="I232">
        <v>39</v>
      </c>
      <c r="J232" t="s">
        <v>39</v>
      </c>
      <c r="K232">
        <v>2437.2600000000002</v>
      </c>
      <c r="L232">
        <v>2889.67</v>
      </c>
      <c r="M232" t="s">
        <v>25</v>
      </c>
      <c r="N232" s="30">
        <v>0.25</v>
      </c>
      <c r="O232" t="s">
        <v>26</v>
      </c>
      <c r="P232" t="s">
        <v>34</v>
      </c>
      <c r="Q232" t="s">
        <v>35</v>
      </c>
    </row>
    <row r="233" spans="1:17" x14ac:dyDescent="0.35">
      <c r="A233" t="s">
        <v>413</v>
      </c>
      <c r="B233">
        <v>1019</v>
      </c>
      <c r="C233" s="1">
        <v>45228</v>
      </c>
      <c r="D233" t="s">
        <v>117</v>
      </c>
      <c r="E233">
        <v>46</v>
      </c>
      <c r="F233" t="s">
        <v>54</v>
      </c>
      <c r="G233" t="s">
        <v>81</v>
      </c>
      <c r="H233" t="s">
        <v>23</v>
      </c>
      <c r="I233">
        <v>31</v>
      </c>
      <c r="J233" t="s">
        <v>39</v>
      </c>
      <c r="K233">
        <v>333.69</v>
      </c>
      <c r="L233">
        <v>685.1</v>
      </c>
      <c r="M233" t="s">
        <v>46</v>
      </c>
      <c r="N233" s="30">
        <v>0.04</v>
      </c>
      <c r="O233" t="s">
        <v>40</v>
      </c>
      <c r="P233" t="s">
        <v>27</v>
      </c>
      <c r="Q233" t="s">
        <v>35</v>
      </c>
    </row>
    <row r="234" spans="1:17" x14ac:dyDescent="0.35">
      <c r="A234" t="s">
        <v>414</v>
      </c>
      <c r="B234">
        <v>1002</v>
      </c>
      <c r="C234" s="1">
        <v>45027</v>
      </c>
      <c r="D234" t="s">
        <v>415</v>
      </c>
      <c r="E234">
        <v>25</v>
      </c>
      <c r="F234" t="s">
        <v>54</v>
      </c>
      <c r="G234" t="s">
        <v>22</v>
      </c>
      <c r="H234" t="s">
        <v>33</v>
      </c>
      <c r="I234">
        <v>21</v>
      </c>
      <c r="J234" t="s">
        <v>39</v>
      </c>
      <c r="K234">
        <v>914.22</v>
      </c>
      <c r="L234">
        <v>971.57</v>
      </c>
      <c r="M234" t="s">
        <v>25</v>
      </c>
      <c r="N234" s="30">
        <v>0.14000000000000001</v>
      </c>
      <c r="O234" t="s">
        <v>26</v>
      </c>
      <c r="P234" t="s">
        <v>27</v>
      </c>
      <c r="Q234" t="s">
        <v>28</v>
      </c>
    </row>
    <row r="235" spans="1:17" x14ac:dyDescent="0.35">
      <c r="A235" t="s">
        <v>416</v>
      </c>
      <c r="B235">
        <v>1053</v>
      </c>
      <c r="C235" s="1">
        <v>45272</v>
      </c>
      <c r="D235" t="s">
        <v>239</v>
      </c>
      <c r="E235">
        <v>28</v>
      </c>
      <c r="F235" t="s">
        <v>21</v>
      </c>
      <c r="G235" t="s">
        <v>22</v>
      </c>
      <c r="H235" t="s">
        <v>23</v>
      </c>
      <c r="I235">
        <v>47</v>
      </c>
      <c r="J235" t="s">
        <v>51</v>
      </c>
      <c r="K235">
        <v>3551.76</v>
      </c>
      <c r="L235">
        <v>3696.1</v>
      </c>
      <c r="M235" t="s">
        <v>25</v>
      </c>
      <c r="N235" s="30">
        <v>0.15</v>
      </c>
      <c r="O235" t="s">
        <v>40</v>
      </c>
      <c r="P235" t="s">
        <v>34</v>
      </c>
      <c r="Q235" t="s">
        <v>28</v>
      </c>
    </row>
    <row r="236" spans="1:17" x14ac:dyDescent="0.35">
      <c r="A236" t="s">
        <v>417</v>
      </c>
      <c r="B236">
        <v>1044</v>
      </c>
      <c r="C236" s="1">
        <v>45036</v>
      </c>
      <c r="D236" t="s">
        <v>266</v>
      </c>
      <c r="E236">
        <v>58</v>
      </c>
      <c r="F236" t="s">
        <v>65</v>
      </c>
      <c r="G236" t="s">
        <v>81</v>
      </c>
      <c r="H236" t="s">
        <v>44</v>
      </c>
      <c r="I236">
        <v>34</v>
      </c>
      <c r="J236" t="s">
        <v>39</v>
      </c>
      <c r="K236">
        <v>3573.3</v>
      </c>
      <c r="L236">
        <v>3740.13</v>
      </c>
      <c r="M236" t="s">
        <v>25</v>
      </c>
      <c r="N236" s="30">
        <v>0.01</v>
      </c>
      <c r="O236" t="s">
        <v>47</v>
      </c>
      <c r="P236" t="s">
        <v>27</v>
      </c>
      <c r="Q236" t="s">
        <v>28</v>
      </c>
    </row>
    <row r="237" spans="1:17" x14ac:dyDescent="0.35">
      <c r="A237" t="s">
        <v>418</v>
      </c>
      <c r="B237">
        <v>1090</v>
      </c>
      <c r="C237" s="1">
        <v>45108</v>
      </c>
      <c r="D237" t="s">
        <v>349</v>
      </c>
      <c r="E237">
        <v>54</v>
      </c>
      <c r="F237" t="s">
        <v>100</v>
      </c>
      <c r="G237" t="s">
        <v>54</v>
      </c>
      <c r="H237" t="s">
        <v>50</v>
      </c>
      <c r="I237">
        <v>31</v>
      </c>
      <c r="J237" t="s">
        <v>24</v>
      </c>
      <c r="K237">
        <v>4496.8599999999997</v>
      </c>
      <c r="L237">
        <v>4880.8</v>
      </c>
      <c r="M237" t="s">
        <v>46</v>
      </c>
      <c r="N237" s="30">
        <v>0.06</v>
      </c>
      <c r="O237" t="s">
        <v>26</v>
      </c>
      <c r="P237" t="s">
        <v>34</v>
      </c>
      <c r="Q237" t="s">
        <v>35</v>
      </c>
    </row>
    <row r="238" spans="1:17" x14ac:dyDescent="0.35">
      <c r="A238" t="s">
        <v>419</v>
      </c>
      <c r="B238">
        <v>1032</v>
      </c>
      <c r="C238" s="1">
        <v>45239</v>
      </c>
      <c r="D238" t="s">
        <v>420</v>
      </c>
      <c r="E238">
        <v>31</v>
      </c>
      <c r="F238" t="s">
        <v>65</v>
      </c>
      <c r="G238" t="s">
        <v>81</v>
      </c>
      <c r="H238" t="s">
        <v>44</v>
      </c>
      <c r="I238">
        <v>25</v>
      </c>
      <c r="J238" t="s">
        <v>51</v>
      </c>
      <c r="K238">
        <v>2934.3</v>
      </c>
      <c r="L238">
        <v>3937.4</v>
      </c>
      <c r="M238" t="s">
        <v>25</v>
      </c>
      <c r="N238" s="30">
        <v>0.25</v>
      </c>
      <c r="O238" t="s">
        <v>47</v>
      </c>
      <c r="P238" t="s">
        <v>34</v>
      </c>
      <c r="Q238" t="s">
        <v>41</v>
      </c>
    </row>
    <row r="239" spans="1:17" x14ac:dyDescent="0.35">
      <c r="A239" t="s">
        <v>421</v>
      </c>
      <c r="B239">
        <v>1070</v>
      </c>
      <c r="C239" s="1">
        <v>44927</v>
      </c>
      <c r="D239" t="s">
        <v>64</v>
      </c>
      <c r="E239">
        <v>47</v>
      </c>
      <c r="F239" t="s">
        <v>31</v>
      </c>
      <c r="G239" t="s">
        <v>22</v>
      </c>
      <c r="H239" t="s">
        <v>23</v>
      </c>
      <c r="I239">
        <v>12</v>
      </c>
      <c r="J239" t="s">
        <v>24</v>
      </c>
      <c r="K239">
        <v>664.33</v>
      </c>
      <c r="L239">
        <v>863.03</v>
      </c>
      <c r="M239" t="s">
        <v>25</v>
      </c>
      <c r="N239" s="30">
        <v>0.25</v>
      </c>
      <c r="O239" t="s">
        <v>40</v>
      </c>
      <c r="P239" t="s">
        <v>27</v>
      </c>
      <c r="Q239" t="s">
        <v>41</v>
      </c>
    </row>
    <row r="240" spans="1:17" x14ac:dyDescent="0.35">
      <c r="A240" t="s">
        <v>422</v>
      </c>
      <c r="B240">
        <v>1032</v>
      </c>
      <c r="C240" s="1">
        <v>45245</v>
      </c>
      <c r="D240" t="s">
        <v>423</v>
      </c>
      <c r="E240">
        <v>52</v>
      </c>
      <c r="F240" t="s">
        <v>21</v>
      </c>
      <c r="G240" t="s">
        <v>32</v>
      </c>
      <c r="H240" t="s">
        <v>33</v>
      </c>
      <c r="I240">
        <v>1</v>
      </c>
      <c r="J240" t="s">
        <v>39</v>
      </c>
      <c r="K240">
        <v>651</v>
      </c>
      <c r="L240">
        <v>865.76</v>
      </c>
      <c r="M240" t="s">
        <v>25</v>
      </c>
      <c r="N240" s="30">
        <v>0.09</v>
      </c>
      <c r="O240" t="s">
        <v>40</v>
      </c>
      <c r="P240" t="s">
        <v>34</v>
      </c>
      <c r="Q240" t="s">
        <v>41</v>
      </c>
    </row>
    <row r="241" spans="1:17" x14ac:dyDescent="0.35">
      <c r="A241" t="s">
        <v>424</v>
      </c>
      <c r="B241">
        <v>1068</v>
      </c>
      <c r="C241" s="1">
        <v>44981</v>
      </c>
      <c r="D241" t="s">
        <v>158</v>
      </c>
      <c r="E241">
        <v>38</v>
      </c>
      <c r="F241" t="s">
        <v>65</v>
      </c>
      <c r="G241" t="s">
        <v>32</v>
      </c>
      <c r="H241" t="s">
        <v>50</v>
      </c>
      <c r="I241">
        <v>22</v>
      </c>
      <c r="J241" t="s">
        <v>45</v>
      </c>
      <c r="K241">
        <v>3619.61</v>
      </c>
      <c r="L241">
        <v>4651.42</v>
      </c>
      <c r="M241" t="s">
        <v>25</v>
      </c>
      <c r="N241" s="30">
        <v>0.26</v>
      </c>
      <c r="O241" t="s">
        <v>40</v>
      </c>
      <c r="P241" t="s">
        <v>27</v>
      </c>
      <c r="Q241" t="s">
        <v>41</v>
      </c>
    </row>
    <row r="242" spans="1:17" x14ac:dyDescent="0.35">
      <c r="A242" t="s">
        <v>425</v>
      </c>
      <c r="B242">
        <v>1055</v>
      </c>
      <c r="C242" s="1">
        <v>45075</v>
      </c>
      <c r="D242" t="s">
        <v>93</v>
      </c>
      <c r="E242">
        <v>54</v>
      </c>
      <c r="F242" t="s">
        <v>54</v>
      </c>
      <c r="G242" t="s">
        <v>38</v>
      </c>
      <c r="H242" t="s">
        <v>23</v>
      </c>
      <c r="I242">
        <v>40</v>
      </c>
      <c r="J242" t="s">
        <v>24</v>
      </c>
      <c r="K242">
        <v>959.73</v>
      </c>
      <c r="L242">
        <v>1111.4100000000001</v>
      </c>
      <c r="M242" t="s">
        <v>46</v>
      </c>
      <c r="N242" s="30">
        <v>0.23</v>
      </c>
      <c r="O242" t="s">
        <v>40</v>
      </c>
      <c r="P242" t="s">
        <v>34</v>
      </c>
      <c r="Q242" t="s">
        <v>28</v>
      </c>
    </row>
    <row r="243" spans="1:17" x14ac:dyDescent="0.35">
      <c r="A243" t="s">
        <v>426</v>
      </c>
      <c r="B243">
        <v>1075</v>
      </c>
      <c r="C243" s="1">
        <v>45235</v>
      </c>
      <c r="D243" t="s">
        <v>83</v>
      </c>
      <c r="E243">
        <v>22</v>
      </c>
      <c r="F243" t="s">
        <v>31</v>
      </c>
      <c r="G243" t="s">
        <v>81</v>
      </c>
      <c r="H243" t="s">
        <v>23</v>
      </c>
      <c r="I243">
        <v>37</v>
      </c>
      <c r="J243" t="s">
        <v>39</v>
      </c>
      <c r="K243">
        <v>1675.51</v>
      </c>
      <c r="L243">
        <v>1906.64</v>
      </c>
      <c r="M243" t="s">
        <v>46</v>
      </c>
      <c r="N243" s="30">
        <v>0.13</v>
      </c>
      <c r="O243" t="s">
        <v>40</v>
      </c>
      <c r="P243" t="s">
        <v>34</v>
      </c>
      <c r="Q243" t="s">
        <v>28</v>
      </c>
    </row>
    <row r="244" spans="1:17" x14ac:dyDescent="0.35">
      <c r="A244" t="s">
        <v>427</v>
      </c>
      <c r="B244">
        <v>1056</v>
      </c>
      <c r="C244" s="1">
        <v>45063</v>
      </c>
      <c r="D244" t="s">
        <v>115</v>
      </c>
      <c r="E244">
        <v>36</v>
      </c>
      <c r="F244" t="s">
        <v>31</v>
      </c>
      <c r="G244" t="s">
        <v>81</v>
      </c>
      <c r="H244" t="s">
        <v>33</v>
      </c>
      <c r="I244">
        <v>47</v>
      </c>
      <c r="J244" t="s">
        <v>24</v>
      </c>
      <c r="K244">
        <v>2461.6999999999998</v>
      </c>
      <c r="L244">
        <v>4529.0200000000004</v>
      </c>
      <c r="M244" t="s">
        <v>25</v>
      </c>
      <c r="N244" s="30">
        <v>0.22</v>
      </c>
      <c r="O244" t="s">
        <v>26</v>
      </c>
      <c r="P244" t="s">
        <v>34</v>
      </c>
      <c r="Q244" t="s">
        <v>35</v>
      </c>
    </row>
    <row r="245" spans="1:17" x14ac:dyDescent="0.35">
      <c r="A245" t="s">
        <v>428</v>
      </c>
      <c r="B245">
        <v>1017</v>
      </c>
      <c r="C245" s="1">
        <v>45128</v>
      </c>
      <c r="D245" t="s">
        <v>89</v>
      </c>
      <c r="E245">
        <v>31</v>
      </c>
      <c r="F245" t="s">
        <v>65</v>
      </c>
      <c r="G245" t="s">
        <v>38</v>
      </c>
      <c r="H245" t="s">
        <v>33</v>
      </c>
      <c r="I245">
        <v>1</v>
      </c>
      <c r="J245" t="s">
        <v>39</v>
      </c>
      <c r="K245">
        <v>172.59</v>
      </c>
      <c r="L245">
        <v>404.69</v>
      </c>
      <c r="M245" t="s">
        <v>25</v>
      </c>
      <c r="N245" s="30">
        <v>0.28999999999999998</v>
      </c>
      <c r="O245" t="s">
        <v>40</v>
      </c>
      <c r="P245" t="s">
        <v>27</v>
      </c>
      <c r="Q245" t="s">
        <v>35</v>
      </c>
    </row>
    <row r="246" spans="1:17" x14ac:dyDescent="0.35">
      <c r="A246" t="s">
        <v>429</v>
      </c>
      <c r="B246">
        <v>1038</v>
      </c>
      <c r="C246" s="1">
        <v>45239</v>
      </c>
      <c r="D246" t="s">
        <v>430</v>
      </c>
      <c r="E246">
        <v>43</v>
      </c>
      <c r="F246" t="s">
        <v>65</v>
      </c>
      <c r="G246" t="s">
        <v>38</v>
      </c>
      <c r="H246" t="s">
        <v>44</v>
      </c>
      <c r="I246">
        <v>1</v>
      </c>
      <c r="J246" t="s">
        <v>39</v>
      </c>
      <c r="K246">
        <v>1281.6500000000001</v>
      </c>
      <c r="L246">
        <v>1709.71</v>
      </c>
      <c r="M246" t="s">
        <v>25</v>
      </c>
      <c r="N246" s="30">
        <v>0.14000000000000001</v>
      </c>
      <c r="O246" t="s">
        <v>47</v>
      </c>
      <c r="P246" t="s">
        <v>34</v>
      </c>
      <c r="Q246" t="s">
        <v>41</v>
      </c>
    </row>
    <row r="247" spans="1:17" x14ac:dyDescent="0.35">
      <c r="A247" t="s">
        <v>431</v>
      </c>
      <c r="B247">
        <v>1024</v>
      </c>
      <c r="C247" s="1">
        <v>45043</v>
      </c>
      <c r="D247" t="s">
        <v>432</v>
      </c>
      <c r="E247">
        <v>21</v>
      </c>
      <c r="F247" t="s">
        <v>21</v>
      </c>
      <c r="G247" t="s">
        <v>38</v>
      </c>
      <c r="H247" t="s">
        <v>50</v>
      </c>
      <c r="I247">
        <v>42</v>
      </c>
      <c r="J247" t="s">
        <v>39</v>
      </c>
      <c r="K247">
        <v>2069.0500000000002</v>
      </c>
      <c r="L247">
        <v>2363.9</v>
      </c>
      <c r="M247" t="s">
        <v>25</v>
      </c>
      <c r="N247" s="30">
        <v>7.0000000000000007E-2</v>
      </c>
      <c r="O247" t="s">
        <v>26</v>
      </c>
      <c r="P247" t="s">
        <v>27</v>
      </c>
      <c r="Q247" t="s">
        <v>28</v>
      </c>
    </row>
    <row r="248" spans="1:17" x14ac:dyDescent="0.35">
      <c r="A248" t="s">
        <v>433</v>
      </c>
      <c r="B248">
        <v>1069</v>
      </c>
      <c r="C248" s="1">
        <v>45080</v>
      </c>
      <c r="D248" t="s">
        <v>228</v>
      </c>
      <c r="E248">
        <v>42</v>
      </c>
      <c r="F248" t="s">
        <v>100</v>
      </c>
      <c r="G248" t="s">
        <v>22</v>
      </c>
      <c r="H248" t="s">
        <v>50</v>
      </c>
      <c r="I248">
        <v>42</v>
      </c>
      <c r="J248" t="s">
        <v>45</v>
      </c>
      <c r="K248">
        <v>1434.2</v>
      </c>
      <c r="L248">
        <v>1482.88</v>
      </c>
      <c r="M248" t="s">
        <v>46</v>
      </c>
      <c r="N248" s="30">
        <v>0.28000000000000003</v>
      </c>
      <c r="O248" t="s">
        <v>47</v>
      </c>
      <c r="P248" t="s">
        <v>34</v>
      </c>
      <c r="Q248" t="s">
        <v>41</v>
      </c>
    </row>
    <row r="249" spans="1:17" x14ac:dyDescent="0.35">
      <c r="A249" t="s">
        <v>434</v>
      </c>
      <c r="B249">
        <v>1098</v>
      </c>
      <c r="C249" s="1">
        <v>45217</v>
      </c>
      <c r="D249" t="s">
        <v>141</v>
      </c>
      <c r="E249">
        <v>62</v>
      </c>
      <c r="F249" t="s">
        <v>65</v>
      </c>
      <c r="G249" t="s">
        <v>81</v>
      </c>
      <c r="H249" t="s">
        <v>33</v>
      </c>
      <c r="I249">
        <v>21</v>
      </c>
      <c r="J249" t="s">
        <v>24</v>
      </c>
      <c r="K249">
        <v>725.03</v>
      </c>
      <c r="L249">
        <v>828.95</v>
      </c>
      <c r="M249" t="s">
        <v>46</v>
      </c>
      <c r="N249" s="30">
        <v>0.18</v>
      </c>
      <c r="O249" t="s">
        <v>40</v>
      </c>
      <c r="P249" t="s">
        <v>34</v>
      </c>
      <c r="Q249" t="s">
        <v>35</v>
      </c>
    </row>
    <row r="250" spans="1:17" x14ac:dyDescent="0.35">
      <c r="A250" t="s">
        <v>435</v>
      </c>
      <c r="B250">
        <v>1070</v>
      </c>
      <c r="C250" s="1">
        <v>44989</v>
      </c>
      <c r="D250" t="s">
        <v>436</v>
      </c>
      <c r="E250">
        <v>59</v>
      </c>
      <c r="F250" t="s">
        <v>65</v>
      </c>
      <c r="G250" t="s">
        <v>22</v>
      </c>
      <c r="H250" t="s">
        <v>44</v>
      </c>
      <c r="I250">
        <v>15</v>
      </c>
      <c r="J250" t="s">
        <v>51</v>
      </c>
      <c r="K250">
        <v>3653.66</v>
      </c>
      <c r="L250">
        <v>3896.19</v>
      </c>
      <c r="M250" t="s">
        <v>46</v>
      </c>
      <c r="N250" s="30">
        <v>0.03</v>
      </c>
      <c r="O250" t="s">
        <v>47</v>
      </c>
      <c r="P250" t="s">
        <v>27</v>
      </c>
      <c r="Q250" t="s">
        <v>35</v>
      </c>
    </row>
    <row r="251" spans="1:17" x14ac:dyDescent="0.35">
      <c r="A251" t="s">
        <v>437</v>
      </c>
      <c r="B251">
        <v>1086</v>
      </c>
      <c r="C251" s="1">
        <v>45170</v>
      </c>
      <c r="D251" t="s">
        <v>438</v>
      </c>
      <c r="E251">
        <v>42</v>
      </c>
      <c r="F251" t="s">
        <v>54</v>
      </c>
      <c r="G251" t="s">
        <v>38</v>
      </c>
      <c r="H251" t="s">
        <v>50</v>
      </c>
      <c r="I251">
        <v>17</v>
      </c>
      <c r="J251" t="s">
        <v>51</v>
      </c>
      <c r="K251">
        <v>4075.08</v>
      </c>
      <c r="L251">
        <v>4262.21</v>
      </c>
      <c r="M251" t="s">
        <v>46</v>
      </c>
      <c r="N251" s="30">
        <v>0.17</v>
      </c>
      <c r="O251" t="s">
        <v>26</v>
      </c>
      <c r="P251" t="s">
        <v>27</v>
      </c>
      <c r="Q251" t="s">
        <v>41</v>
      </c>
    </row>
    <row r="252" spans="1:17" x14ac:dyDescent="0.35">
      <c r="A252" t="s">
        <v>439</v>
      </c>
      <c r="B252">
        <v>1011</v>
      </c>
      <c r="C252" s="1">
        <v>44951</v>
      </c>
      <c r="D252" t="s">
        <v>374</v>
      </c>
      <c r="E252">
        <v>35</v>
      </c>
      <c r="F252" t="s">
        <v>31</v>
      </c>
      <c r="G252" t="s">
        <v>81</v>
      </c>
      <c r="H252" t="s">
        <v>33</v>
      </c>
      <c r="I252">
        <v>22</v>
      </c>
      <c r="J252" t="s">
        <v>51</v>
      </c>
      <c r="K252">
        <v>1324.52</v>
      </c>
      <c r="L252">
        <v>1510.3</v>
      </c>
      <c r="M252" t="s">
        <v>25</v>
      </c>
      <c r="N252" s="30">
        <v>0.15</v>
      </c>
      <c r="O252" t="s">
        <v>26</v>
      </c>
      <c r="P252" t="s">
        <v>27</v>
      </c>
      <c r="Q252" t="s">
        <v>35</v>
      </c>
    </row>
    <row r="253" spans="1:17" x14ac:dyDescent="0.35">
      <c r="A253" t="s">
        <v>440</v>
      </c>
      <c r="B253">
        <v>1016</v>
      </c>
      <c r="C253" s="1">
        <v>45016</v>
      </c>
      <c r="D253" t="s">
        <v>441</v>
      </c>
      <c r="E253">
        <v>57</v>
      </c>
      <c r="F253" t="s">
        <v>100</v>
      </c>
      <c r="G253" t="s">
        <v>22</v>
      </c>
      <c r="H253" t="s">
        <v>23</v>
      </c>
      <c r="I253">
        <v>38</v>
      </c>
      <c r="J253" t="s">
        <v>51</v>
      </c>
      <c r="K253">
        <v>3883.38</v>
      </c>
      <c r="L253">
        <v>4152.72</v>
      </c>
      <c r="M253" t="s">
        <v>25</v>
      </c>
      <c r="N253" s="30">
        <v>0.26</v>
      </c>
      <c r="O253" t="s">
        <v>26</v>
      </c>
      <c r="P253" t="s">
        <v>27</v>
      </c>
      <c r="Q253" t="s">
        <v>41</v>
      </c>
    </row>
    <row r="254" spans="1:17" x14ac:dyDescent="0.35">
      <c r="A254" t="s">
        <v>442</v>
      </c>
      <c r="B254">
        <v>1097</v>
      </c>
      <c r="C254" s="1">
        <v>45001</v>
      </c>
      <c r="D254" t="s">
        <v>396</v>
      </c>
      <c r="E254">
        <v>25</v>
      </c>
      <c r="F254" t="s">
        <v>54</v>
      </c>
      <c r="G254" t="s">
        <v>22</v>
      </c>
      <c r="H254" t="s">
        <v>50</v>
      </c>
      <c r="I254">
        <v>35</v>
      </c>
      <c r="J254" t="s">
        <v>39</v>
      </c>
      <c r="K254">
        <v>1958.49</v>
      </c>
      <c r="L254">
        <v>2254.84</v>
      </c>
      <c r="M254" t="s">
        <v>46</v>
      </c>
      <c r="N254" s="30">
        <v>0.16</v>
      </c>
      <c r="O254" t="s">
        <v>47</v>
      </c>
      <c r="P254" t="s">
        <v>27</v>
      </c>
      <c r="Q254" t="s">
        <v>28</v>
      </c>
    </row>
    <row r="255" spans="1:17" x14ac:dyDescent="0.35">
      <c r="A255" t="s">
        <v>443</v>
      </c>
      <c r="B255">
        <v>1073</v>
      </c>
      <c r="C255" s="1">
        <v>45220</v>
      </c>
      <c r="D255" t="s">
        <v>341</v>
      </c>
      <c r="E255">
        <v>56</v>
      </c>
      <c r="F255" t="s">
        <v>21</v>
      </c>
      <c r="G255" t="s">
        <v>38</v>
      </c>
      <c r="H255" t="s">
        <v>44</v>
      </c>
      <c r="I255">
        <v>45</v>
      </c>
      <c r="J255" t="s">
        <v>24</v>
      </c>
      <c r="K255">
        <v>2558.09</v>
      </c>
      <c r="L255">
        <v>2958.55</v>
      </c>
      <c r="M255" t="s">
        <v>46</v>
      </c>
      <c r="N255" s="30">
        <v>0.08</v>
      </c>
      <c r="O255" t="s">
        <v>26</v>
      </c>
      <c r="P255" t="s">
        <v>34</v>
      </c>
      <c r="Q255" t="s">
        <v>41</v>
      </c>
    </row>
    <row r="256" spans="1:17" x14ac:dyDescent="0.35">
      <c r="A256" t="s">
        <v>444</v>
      </c>
      <c r="B256">
        <v>1059</v>
      </c>
      <c r="C256" s="1">
        <v>45136</v>
      </c>
      <c r="D256" t="s">
        <v>445</v>
      </c>
      <c r="E256">
        <v>57</v>
      </c>
      <c r="F256" t="s">
        <v>21</v>
      </c>
      <c r="G256" t="s">
        <v>81</v>
      </c>
      <c r="H256" t="s">
        <v>44</v>
      </c>
      <c r="I256">
        <v>16</v>
      </c>
      <c r="J256" t="s">
        <v>24</v>
      </c>
      <c r="K256">
        <v>4287.21</v>
      </c>
      <c r="L256">
        <v>4464.28</v>
      </c>
      <c r="M256" t="s">
        <v>25</v>
      </c>
      <c r="N256" s="30">
        <v>0.2</v>
      </c>
      <c r="O256" t="s">
        <v>47</v>
      </c>
      <c r="P256" t="s">
        <v>34</v>
      </c>
      <c r="Q256" t="s">
        <v>28</v>
      </c>
    </row>
    <row r="257" spans="1:17" x14ac:dyDescent="0.35">
      <c r="A257" t="s">
        <v>446</v>
      </c>
      <c r="B257">
        <v>1070</v>
      </c>
      <c r="C257" s="1">
        <v>45273</v>
      </c>
      <c r="D257" t="s">
        <v>162</v>
      </c>
      <c r="E257">
        <v>31</v>
      </c>
      <c r="F257" t="s">
        <v>65</v>
      </c>
      <c r="G257" t="s">
        <v>38</v>
      </c>
      <c r="H257" t="s">
        <v>44</v>
      </c>
      <c r="I257">
        <v>8</v>
      </c>
      <c r="J257" t="s">
        <v>45</v>
      </c>
      <c r="K257">
        <v>3762.27</v>
      </c>
      <c r="L257">
        <v>4166.95</v>
      </c>
      <c r="M257" t="s">
        <v>25</v>
      </c>
      <c r="N257" s="30">
        <v>0.16</v>
      </c>
      <c r="O257" t="s">
        <v>40</v>
      </c>
      <c r="P257" t="s">
        <v>27</v>
      </c>
      <c r="Q257" t="s">
        <v>28</v>
      </c>
    </row>
    <row r="258" spans="1:17" x14ac:dyDescent="0.35">
      <c r="A258" t="s">
        <v>447</v>
      </c>
      <c r="B258">
        <v>1080</v>
      </c>
      <c r="C258" s="1">
        <v>44943</v>
      </c>
      <c r="D258" t="s">
        <v>448</v>
      </c>
      <c r="E258">
        <v>49</v>
      </c>
      <c r="F258" t="s">
        <v>65</v>
      </c>
      <c r="G258" t="s">
        <v>81</v>
      </c>
      <c r="H258" t="s">
        <v>23</v>
      </c>
      <c r="I258">
        <v>47</v>
      </c>
      <c r="J258" t="s">
        <v>24</v>
      </c>
      <c r="K258">
        <v>4035.33</v>
      </c>
      <c r="L258">
        <v>4211.25</v>
      </c>
      <c r="M258" t="s">
        <v>25</v>
      </c>
      <c r="N258" s="30">
        <v>7.0000000000000007E-2</v>
      </c>
      <c r="O258" t="s">
        <v>40</v>
      </c>
      <c r="P258" t="s">
        <v>34</v>
      </c>
      <c r="Q258" t="s">
        <v>35</v>
      </c>
    </row>
    <row r="259" spans="1:17" x14ac:dyDescent="0.35">
      <c r="A259" t="s">
        <v>449</v>
      </c>
      <c r="B259">
        <v>1093</v>
      </c>
      <c r="C259" s="1">
        <v>45054</v>
      </c>
      <c r="D259" t="s">
        <v>277</v>
      </c>
      <c r="E259">
        <v>55</v>
      </c>
      <c r="F259" t="s">
        <v>21</v>
      </c>
      <c r="G259" t="s">
        <v>32</v>
      </c>
      <c r="H259" t="s">
        <v>50</v>
      </c>
      <c r="I259">
        <v>17</v>
      </c>
      <c r="J259" t="s">
        <v>24</v>
      </c>
      <c r="K259">
        <v>727.38</v>
      </c>
      <c r="L259">
        <v>764.54</v>
      </c>
      <c r="M259" t="s">
        <v>25</v>
      </c>
      <c r="N259" s="30">
        <v>0.17</v>
      </c>
      <c r="O259" t="s">
        <v>47</v>
      </c>
      <c r="P259" t="s">
        <v>34</v>
      </c>
      <c r="Q259" t="s">
        <v>35</v>
      </c>
    </row>
    <row r="260" spans="1:17" x14ac:dyDescent="0.35">
      <c r="A260" t="s">
        <v>450</v>
      </c>
      <c r="B260">
        <v>1003</v>
      </c>
      <c r="C260" s="1">
        <v>45290</v>
      </c>
      <c r="D260" t="s">
        <v>104</v>
      </c>
      <c r="E260">
        <v>50</v>
      </c>
      <c r="F260" t="s">
        <v>65</v>
      </c>
      <c r="G260" t="s">
        <v>54</v>
      </c>
      <c r="H260" t="s">
        <v>50</v>
      </c>
      <c r="I260">
        <v>17</v>
      </c>
      <c r="J260" t="s">
        <v>24</v>
      </c>
      <c r="K260">
        <v>395.11</v>
      </c>
      <c r="L260">
        <v>676.66</v>
      </c>
      <c r="M260" t="s">
        <v>25</v>
      </c>
      <c r="N260" s="30">
        <v>0.25</v>
      </c>
      <c r="O260" t="s">
        <v>26</v>
      </c>
      <c r="P260" t="s">
        <v>34</v>
      </c>
      <c r="Q260" t="s">
        <v>35</v>
      </c>
    </row>
    <row r="261" spans="1:17" x14ac:dyDescent="0.35">
      <c r="A261" t="s">
        <v>451</v>
      </c>
      <c r="B261">
        <v>1020</v>
      </c>
      <c r="C261" s="1">
        <v>45177</v>
      </c>
      <c r="D261" t="s">
        <v>102</v>
      </c>
      <c r="E261">
        <v>40</v>
      </c>
      <c r="F261" t="s">
        <v>100</v>
      </c>
      <c r="G261" t="s">
        <v>54</v>
      </c>
      <c r="H261" t="s">
        <v>23</v>
      </c>
      <c r="I261">
        <v>26</v>
      </c>
      <c r="J261" t="s">
        <v>45</v>
      </c>
      <c r="K261">
        <v>4472.3500000000004</v>
      </c>
      <c r="L261">
        <v>4770.42</v>
      </c>
      <c r="M261" t="s">
        <v>46</v>
      </c>
      <c r="N261" s="30">
        <v>0.01</v>
      </c>
      <c r="O261" t="s">
        <v>47</v>
      </c>
      <c r="P261" t="s">
        <v>27</v>
      </c>
      <c r="Q261" t="s">
        <v>41</v>
      </c>
    </row>
    <row r="262" spans="1:17" x14ac:dyDescent="0.35">
      <c r="A262" t="s">
        <v>452</v>
      </c>
      <c r="B262">
        <v>1059</v>
      </c>
      <c r="C262" s="1">
        <v>45105</v>
      </c>
      <c r="D262" t="s">
        <v>368</v>
      </c>
      <c r="E262">
        <v>32</v>
      </c>
      <c r="F262" t="s">
        <v>65</v>
      </c>
      <c r="G262" t="s">
        <v>54</v>
      </c>
      <c r="H262" t="s">
        <v>50</v>
      </c>
      <c r="I262">
        <v>13</v>
      </c>
      <c r="J262" t="s">
        <v>51</v>
      </c>
      <c r="K262">
        <v>1969.78</v>
      </c>
      <c r="L262">
        <v>2437.6999999999998</v>
      </c>
      <c r="M262" t="s">
        <v>46</v>
      </c>
      <c r="N262" s="30">
        <v>0.19</v>
      </c>
      <c r="O262" t="s">
        <v>47</v>
      </c>
      <c r="P262" t="s">
        <v>34</v>
      </c>
      <c r="Q262" t="s">
        <v>41</v>
      </c>
    </row>
    <row r="263" spans="1:17" x14ac:dyDescent="0.35">
      <c r="A263" t="s">
        <v>453</v>
      </c>
      <c r="B263">
        <v>1036</v>
      </c>
      <c r="C263" s="1">
        <v>45108</v>
      </c>
      <c r="D263" t="s">
        <v>454</v>
      </c>
      <c r="E263">
        <v>50</v>
      </c>
      <c r="F263" t="s">
        <v>31</v>
      </c>
      <c r="G263" t="s">
        <v>38</v>
      </c>
      <c r="H263" t="s">
        <v>23</v>
      </c>
      <c r="I263">
        <v>17</v>
      </c>
      <c r="J263" t="s">
        <v>24</v>
      </c>
      <c r="K263">
        <v>1475</v>
      </c>
      <c r="L263">
        <v>1840.77</v>
      </c>
      <c r="M263" t="s">
        <v>25</v>
      </c>
      <c r="N263" s="30">
        <v>0.1</v>
      </c>
      <c r="O263" t="s">
        <v>47</v>
      </c>
      <c r="P263" t="s">
        <v>34</v>
      </c>
      <c r="Q263" t="s">
        <v>35</v>
      </c>
    </row>
    <row r="264" spans="1:17" x14ac:dyDescent="0.35">
      <c r="A264" t="s">
        <v>455</v>
      </c>
      <c r="B264">
        <v>1019</v>
      </c>
      <c r="C264" s="1">
        <v>45078</v>
      </c>
      <c r="D264" t="s">
        <v>312</v>
      </c>
      <c r="E264">
        <v>42</v>
      </c>
      <c r="F264" t="s">
        <v>65</v>
      </c>
      <c r="G264" t="s">
        <v>32</v>
      </c>
      <c r="H264" t="s">
        <v>23</v>
      </c>
      <c r="I264">
        <v>38</v>
      </c>
      <c r="J264" t="s">
        <v>45</v>
      </c>
      <c r="K264">
        <v>3637.25</v>
      </c>
      <c r="L264">
        <v>4096.96</v>
      </c>
      <c r="M264" t="s">
        <v>25</v>
      </c>
      <c r="N264" s="30">
        <v>0.09</v>
      </c>
      <c r="O264" t="s">
        <v>40</v>
      </c>
      <c r="P264" t="s">
        <v>34</v>
      </c>
      <c r="Q264" t="s">
        <v>41</v>
      </c>
    </row>
    <row r="265" spans="1:17" x14ac:dyDescent="0.35">
      <c r="A265" t="s">
        <v>456</v>
      </c>
      <c r="B265">
        <v>1090</v>
      </c>
      <c r="C265" s="1">
        <v>44951</v>
      </c>
      <c r="D265" t="s">
        <v>252</v>
      </c>
      <c r="E265">
        <v>34</v>
      </c>
      <c r="F265" t="s">
        <v>54</v>
      </c>
      <c r="G265" t="s">
        <v>81</v>
      </c>
      <c r="H265" t="s">
        <v>23</v>
      </c>
      <c r="I265">
        <v>17</v>
      </c>
      <c r="J265" t="s">
        <v>45</v>
      </c>
      <c r="K265">
        <v>4190.26</v>
      </c>
      <c r="L265">
        <v>4645.3500000000004</v>
      </c>
      <c r="M265" t="s">
        <v>46</v>
      </c>
      <c r="N265" s="30">
        <v>0.12</v>
      </c>
      <c r="O265" t="s">
        <v>47</v>
      </c>
      <c r="P265" t="s">
        <v>27</v>
      </c>
      <c r="Q265" t="s">
        <v>35</v>
      </c>
    </row>
    <row r="266" spans="1:17" x14ac:dyDescent="0.35">
      <c r="A266" t="s">
        <v>457</v>
      </c>
      <c r="B266">
        <v>1067</v>
      </c>
      <c r="C266" s="1">
        <v>45106</v>
      </c>
      <c r="D266" t="s">
        <v>97</v>
      </c>
      <c r="E266">
        <v>50</v>
      </c>
      <c r="F266" t="s">
        <v>100</v>
      </c>
      <c r="G266" t="s">
        <v>22</v>
      </c>
      <c r="H266" t="s">
        <v>44</v>
      </c>
      <c r="I266">
        <v>48</v>
      </c>
      <c r="J266" t="s">
        <v>39</v>
      </c>
      <c r="K266">
        <v>4319.32</v>
      </c>
      <c r="L266">
        <v>4625.5600000000004</v>
      </c>
      <c r="M266" t="s">
        <v>25</v>
      </c>
      <c r="N266" s="30">
        <v>0.1</v>
      </c>
      <c r="O266" t="s">
        <v>40</v>
      </c>
      <c r="P266" t="s">
        <v>34</v>
      </c>
      <c r="Q266" t="s">
        <v>41</v>
      </c>
    </row>
    <row r="267" spans="1:17" x14ac:dyDescent="0.35">
      <c r="A267" t="s">
        <v>458</v>
      </c>
      <c r="B267">
        <v>1019</v>
      </c>
      <c r="C267" s="1">
        <v>45124</v>
      </c>
      <c r="D267" t="s">
        <v>160</v>
      </c>
      <c r="E267">
        <v>64</v>
      </c>
      <c r="F267" t="s">
        <v>54</v>
      </c>
      <c r="G267" t="s">
        <v>81</v>
      </c>
      <c r="H267" t="s">
        <v>50</v>
      </c>
      <c r="I267">
        <v>14</v>
      </c>
      <c r="J267" t="s">
        <v>45</v>
      </c>
      <c r="K267">
        <v>1614.19</v>
      </c>
      <c r="L267">
        <v>1882.79</v>
      </c>
      <c r="M267" t="s">
        <v>46</v>
      </c>
      <c r="N267" s="30">
        <v>0.25</v>
      </c>
      <c r="O267" t="s">
        <v>47</v>
      </c>
      <c r="P267" t="s">
        <v>34</v>
      </c>
      <c r="Q267" t="s">
        <v>28</v>
      </c>
    </row>
    <row r="268" spans="1:17" x14ac:dyDescent="0.35">
      <c r="A268" t="s">
        <v>459</v>
      </c>
      <c r="B268">
        <v>1020</v>
      </c>
      <c r="C268" s="1">
        <v>45270</v>
      </c>
      <c r="D268" t="s">
        <v>307</v>
      </c>
      <c r="E268">
        <v>19</v>
      </c>
      <c r="F268" t="s">
        <v>54</v>
      </c>
      <c r="G268" t="s">
        <v>22</v>
      </c>
      <c r="H268" t="s">
        <v>23</v>
      </c>
      <c r="I268">
        <v>45</v>
      </c>
      <c r="J268" t="s">
        <v>51</v>
      </c>
      <c r="K268">
        <v>4268.45</v>
      </c>
      <c r="L268">
        <v>4551.6000000000004</v>
      </c>
      <c r="M268" t="s">
        <v>46</v>
      </c>
      <c r="N268" s="30">
        <v>0.08</v>
      </c>
      <c r="O268" t="s">
        <v>40</v>
      </c>
      <c r="P268" t="s">
        <v>27</v>
      </c>
      <c r="Q268" t="s">
        <v>28</v>
      </c>
    </row>
    <row r="269" spans="1:17" x14ac:dyDescent="0.35">
      <c r="A269" t="s">
        <v>460</v>
      </c>
      <c r="B269">
        <v>1096</v>
      </c>
      <c r="C269" s="1">
        <v>45087</v>
      </c>
      <c r="D269" t="s">
        <v>168</v>
      </c>
      <c r="E269">
        <v>31</v>
      </c>
      <c r="F269" t="s">
        <v>31</v>
      </c>
      <c r="G269" t="s">
        <v>81</v>
      </c>
      <c r="H269" t="s">
        <v>50</v>
      </c>
      <c r="I269">
        <v>6</v>
      </c>
      <c r="J269" t="s">
        <v>24</v>
      </c>
      <c r="K269">
        <v>252.62</v>
      </c>
      <c r="L269">
        <v>742</v>
      </c>
      <c r="M269" t="s">
        <v>46</v>
      </c>
      <c r="N269" s="30">
        <v>0.22</v>
      </c>
      <c r="O269" t="s">
        <v>47</v>
      </c>
      <c r="P269" t="s">
        <v>27</v>
      </c>
      <c r="Q269" t="s">
        <v>35</v>
      </c>
    </row>
    <row r="270" spans="1:17" x14ac:dyDescent="0.35">
      <c r="A270" t="s">
        <v>461</v>
      </c>
      <c r="B270">
        <v>1071</v>
      </c>
      <c r="C270" s="1">
        <v>45103</v>
      </c>
      <c r="D270" t="s">
        <v>277</v>
      </c>
      <c r="E270">
        <v>57</v>
      </c>
      <c r="F270" t="s">
        <v>100</v>
      </c>
      <c r="G270" t="s">
        <v>32</v>
      </c>
      <c r="H270" t="s">
        <v>44</v>
      </c>
      <c r="I270">
        <v>35</v>
      </c>
      <c r="J270" t="s">
        <v>45</v>
      </c>
      <c r="K270">
        <v>295.82</v>
      </c>
      <c r="L270">
        <v>684.67</v>
      </c>
      <c r="M270" t="s">
        <v>46</v>
      </c>
      <c r="N270" s="30">
        <v>0.03</v>
      </c>
      <c r="O270" t="s">
        <v>47</v>
      </c>
      <c r="P270" t="s">
        <v>34</v>
      </c>
      <c r="Q270" t="s">
        <v>41</v>
      </c>
    </row>
    <row r="271" spans="1:17" x14ac:dyDescent="0.35">
      <c r="A271" t="s">
        <v>462</v>
      </c>
      <c r="B271">
        <v>1052</v>
      </c>
      <c r="C271" s="1">
        <v>45211</v>
      </c>
      <c r="D271" t="s">
        <v>205</v>
      </c>
      <c r="E271">
        <v>57</v>
      </c>
      <c r="F271" t="s">
        <v>100</v>
      </c>
      <c r="G271" t="s">
        <v>22</v>
      </c>
      <c r="H271" t="s">
        <v>23</v>
      </c>
      <c r="I271">
        <v>46</v>
      </c>
      <c r="J271" t="s">
        <v>51</v>
      </c>
      <c r="K271">
        <v>3136.42</v>
      </c>
      <c r="L271">
        <v>3198.49</v>
      </c>
      <c r="M271" t="s">
        <v>25</v>
      </c>
      <c r="N271" s="30">
        <v>0.28999999999999998</v>
      </c>
      <c r="O271" t="s">
        <v>26</v>
      </c>
      <c r="P271" t="s">
        <v>34</v>
      </c>
      <c r="Q271" t="s">
        <v>41</v>
      </c>
    </row>
    <row r="272" spans="1:17" x14ac:dyDescent="0.35">
      <c r="A272" t="s">
        <v>463</v>
      </c>
      <c r="B272">
        <v>1033</v>
      </c>
      <c r="C272" s="1">
        <v>44989</v>
      </c>
      <c r="D272" t="s">
        <v>464</v>
      </c>
      <c r="E272">
        <v>56</v>
      </c>
      <c r="F272" t="s">
        <v>100</v>
      </c>
      <c r="G272" t="s">
        <v>38</v>
      </c>
      <c r="H272" t="s">
        <v>33</v>
      </c>
      <c r="I272">
        <v>14</v>
      </c>
      <c r="J272" t="s">
        <v>45</v>
      </c>
      <c r="K272">
        <v>362.38</v>
      </c>
      <c r="L272">
        <v>753.81</v>
      </c>
      <c r="M272" t="s">
        <v>25</v>
      </c>
      <c r="N272" s="30">
        <v>0.19</v>
      </c>
      <c r="O272" t="s">
        <v>26</v>
      </c>
      <c r="P272" t="s">
        <v>27</v>
      </c>
      <c r="Q272" t="s">
        <v>28</v>
      </c>
    </row>
    <row r="273" spans="1:17" x14ac:dyDescent="0.35">
      <c r="A273" t="s">
        <v>465</v>
      </c>
      <c r="B273">
        <v>1040</v>
      </c>
      <c r="C273" s="1">
        <v>45076</v>
      </c>
      <c r="D273" t="s">
        <v>454</v>
      </c>
      <c r="E273">
        <v>23</v>
      </c>
      <c r="F273" t="s">
        <v>100</v>
      </c>
      <c r="G273" t="s">
        <v>81</v>
      </c>
      <c r="H273" t="s">
        <v>44</v>
      </c>
      <c r="I273">
        <v>47</v>
      </c>
      <c r="J273" t="s">
        <v>45</v>
      </c>
      <c r="K273">
        <v>1656.82</v>
      </c>
      <c r="L273">
        <v>1750.38</v>
      </c>
      <c r="M273" t="s">
        <v>46</v>
      </c>
      <c r="N273" s="30">
        <v>0.21</v>
      </c>
      <c r="O273" t="s">
        <v>47</v>
      </c>
      <c r="P273" t="s">
        <v>27</v>
      </c>
      <c r="Q273" t="s">
        <v>28</v>
      </c>
    </row>
    <row r="274" spans="1:17" x14ac:dyDescent="0.35">
      <c r="A274" t="s">
        <v>466</v>
      </c>
      <c r="B274">
        <v>1039</v>
      </c>
      <c r="C274" s="1">
        <v>45080</v>
      </c>
      <c r="D274" t="s">
        <v>467</v>
      </c>
      <c r="E274">
        <v>23</v>
      </c>
      <c r="F274" t="s">
        <v>100</v>
      </c>
      <c r="G274" t="s">
        <v>81</v>
      </c>
      <c r="H274" t="s">
        <v>33</v>
      </c>
      <c r="I274">
        <v>8</v>
      </c>
      <c r="J274" t="s">
        <v>45</v>
      </c>
      <c r="K274">
        <v>3380.14</v>
      </c>
      <c r="L274">
        <v>3609.34</v>
      </c>
      <c r="M274" t="s">
        <v>25</v>
      </c>
      <c r="N274" s="30">
        <v>0.09</v>
      </c>
      <c r="O274" t="s">
        <v>47</v>
      </c>
      <c r="P274" t="s">
        <v>27</v>
      </c>
      <c r="Q274" t="s">
        <v>35</v>
      </c>
    </row>
    <row r="275" spans="1:17" x14ac:dyDescent="0.35">
      <c r="A275" t="s">
        <v>468</v>
      </c>
      <c r="B275">
        <v>1082</v>
      </c>
      <c r="C275" s="1">
        <v>45082</v>
      </c>
      <c r="D275" t="s">
        <v>274</v>
      </c>
      <c r="E275">
        <v>20</v>
      </c>
      <c r="F275" t="s">
        <v>31</v>
      </c>
      <c r="G275" t="s">
        <v>22</v>
      </c>
      <c r="H275" t="s">
        <v>50</v>
      </c>
      <c r="I275">
        <v>15</v>
      </c>
      <c r="J275" t="s">
        <v>45</v>
      </c>
      <c r="K275">
        <v>1719.47</v>
      </c>
      <c r="L275">
        <v>1832.6</v>
      </c>
      <c r="M275" t="s">
        <v>25</v>
      </c>
      <c r="N275" s="30">
        <v>0.12</v>
      </c>
      <c r="O275" t="s">
        <v>47</v>
      </c>
      <c r="P275" t="s">
        <v>27</v>
      </c>
      <c r="Q275" t="s">
        <v>28</v>
      </c>
    </row>
    <row r="276" spans="1:17" x14ac:dyDescent="0.35">
      <c r="A276" t="s">
        <v>469</v>
      </c>
      <c r="B276">
        <v>1001</v>
      </c>
      <c r="C276" s="1">
        <v>44975</v>
      </c>
      <c r="D276" t="s">
        <v>254</v>
      </c>
      <c r="E276">
        <v>24</v>
      </c>
      <c r="F276" t="s">
        <v>65</v>
      </c>
      <c r="G276" t="s">
        <v>38</v>
      </c>
      <c r="H276" t="s">
        <v>50</v>
      </c>
      <c r="I276">
        <v>27</v>
      </c>
      <c r="J276" t="s">
        <v>45</v>
      </c>
      <c r="K276">
        <v>939.02</v>
      </c>
      <c r="L276">
        <v>1286.92</v>
      </c>
      <c r="M276" t="s">
        <v>25</v>
      </c>
      <c r="N276" s="30">
        <v>7.0000000000000007E-2</v>
      </c>
      <c r="O276" t="s">
        <v>47</v>
      </c>
      <c r="P276" t="s">
        <v>27</v>
      </c>
      <c r="Q276" t="s">
        <v>35</v>
      </c>
    </row>
    <row r="277" spans="1:17" x14ac:dyDescent="0.35">
      <c r="A277" t="s">
        <v>470</v>
      </c>
      <c r="B277">
        <v>1011</v>
      </c>
      <c r="C277" s="1">
        <v>45263</v>
      </c>
      <c r="D277" t="s">
        <v>402</v>
      </c>
      <c r="E277">
        <v>25</v>
      </c>
      <c r="F277" t="s">
        <v>54</v>
      </c>
      <c r="G277" t="s">
        <v>38</v>
      </c>
      <c r="H277" t="s">
        <v>44</v>
      </c>
      <c r="I277">
        <v>13</v>
      </c>
      <c r="J277" t="s">
        <v>51</v>
      </c>
      <c r="K277">
        <v>1442.69</v>
      </c>
      <c r="L277">
        <v>1882.57</v>
      </c>
      <c r="M277" t="s">
        <v>25</v>
      </c>
      <c r="N277" s="30">
        <v>0.28000000000000003</v>
      </c>
      <c r="O277" t="s">
        <v>26</v>
      </c>
      <c r="P277" t="s">
        <v>27</v>
      </c>
      <c r="Q277" t="s">
        <v>28</v>
      </c>
    </row>
    <row r="278" spans="1:17" x14ac:dyDescent="0.35">
      <c r="A278" t="s">
        <v>471</v>
      </c>
      <c r="B278">
        <v>1092</v>
      </c>
      <c r="C278" s="1">
        <v>45010</v>
      </c>
      <c r="D278" t="s">
        <v>248</v>
      </c>
      <c r="E278">
        <v>59</v>
      </c>
      <c r="F278" t="s">
        <v>100</v>
      </c>
      <c r="G278" t="s">
        <v>32</v>
      </c>
      <c r="H278" t="s">
        <v>50</v>
      </c>
      <c r="I278">
        <v>49</v>
      </c>
      <c r="J278" t="s">
        <v>24</v>
      </c>
      <c r="K278">
        <v>2315</v>
      </c>
      <c r="L278">
        <v>2467.2800000000002</v>
      </c>
      <c r="M278" t="s">
        <v>46</v>
      </c>
      <c r="N278" s="30">
        <v>0.15</v>
      </c>
      <c r="O278" t="s">
        <v>40</v>
      </c>
      <c r="P278" t="s">
        <v>27</v>
      </c>
      <c r="Q278" t="s">
        <v>28</v>
      </c>
    </row>
    <row r="279" spans="1:17" x14ac:dyDescent="0.35">
      <c r="A279" t="s">
        <v>472</v>
      </c>
      <c r="B279">
        <v>1057</v>
      </c>
      <c r="C279" s="1">
        <v>45287</v>
      </c>
      <c r="D279" t="s">
        <v>473</v>
      </c>
      <c r="E279">
        <v>32</v>
      </c>
      <c r="F279" t="s">
        <v>65</v>
      </c>
      <c r="G279" t="s">
        <v>38</v>
      </c>
      <c r="H279" t="s">
        <v>33</v>
      </c>
      <c r="I279">
        <v>31</v>
      </c>
      <c r="J279" t="s">
        <v>24</v>
      </c>
      <c r="K279">
        <v>2403.16</v>
      </c>
      <c r="L279">
        <v>2453.35</v>
      </c>
      <c r="M279" t="s">
        <v>25</v>
      </c>
      <c r="N279" s="30">
        <v>0.19</v>
      </c>
      <c r="O279" t="s">
        <v>47</v>
      </c>
      <c r="P279" t="s">
        <v>34</v>
      </c>
      <c r="Q279" t="s">
        <v>41</v>
      </c>
    </row>
    <row r="280" spans="1:17" x14ac:dyDescent="0.35">
      <c r="A280" t="s">
        <v>474</v>
      </c>
      <c r="B280">
        <v>1089</v>
      </c>
      <c r="C280" s="1">
        <v>45103</v>
      </c>
      <c r="D280" t="s">
        <v>70</v>
      </c>
      <c r="E280">
        <v>64</v>
      </c>
      <c r="F280" t="s">
        <v>65</v>
      </c>
      <c r="G280" t="s">
        <v>38</v>
      </c>
      <c r="H280" t="s">
        <v>23</v>
      </c>
      <c r="I280">
        <v>35</v>
      </c>
      <c r="J280" t="s">
        <v>24</v>
      </c>
      <c r="K280">
        <v>3925.85</v>
      </c>
      <c r="L280">
        <v>4082.11</v>
      </c>
      <c r="M280" t="s">
        <v>46</v>
      </c>
      <c r="N280" s="30">
        <v>0.09</v>
      </c>
      <c r="O280" t="s">
        <v>26</v>
      </c>
      <c r="P280" t="s">
        <v>27</v>
      </c>
      <c r="Q280" t="s">
        <v>28</v>
      </c>
    </row>
    <row r="281" spans="1:17" x14ac:dyDescent="0.35">
      <c r="A281" t="s">
        <v>475</v>
      </c>
      <c r="B281">
        <v>1050</v>
      </c>
      <c r="C281" s="1">
        <v>45074</v>
      </c>
      <c r="D281" t="s">
        <v>298</v>
      </c>
      <c r="E281">
        <v>46</v>
      </c>
      <c r="F281" t="s">
        <v>54</v>
      </c>
      <c r="G281" t="s">
        <v>38</v>
      </c>
      <c r="H281" t="s">
        <v>23</v>
      </c>
      <c r="I281">
        <v>6</v>
      </c>
      <c r="J281" t="s">
        <v>24</v>
      </c>
      <c r="K281">
        <v>3763.26</v>
      </c>
      <c r="L281">
        <v>4102.72</v>
      </c>
      <c r="M281" t="s">
        <v>46</v>
      </c>
      <c r="N281" s="30">
        <v>0.11</v>
      </c>
      <c r="O281" t="s">
        <v>47</v>
      </c>
      <c r="P281" t="s">
        <v>27</v>
      </c>
      <c r="Q281" t="s">
        <v>28</v>
      </c>
    </row>
    <row r="282" spans="1:17" x14ac:dyDescent="0.35">
      <c r="A282" t="s">
        <v>476</v>
      </c>
      <c r="B282">
        <v>1023</v>
      </c>
      <c r="C282" s="1">
        <v>45044</v>
      </c>
      <c r="D282" t="s">
        <v>135</v>
      </c>
      <c r="E282">
        <v>50</v>
      </c>
      <c r="F282" t="s">
        <v>31</v>
      </c>
      <c r="G282" t="s">
        <v>54</v>
      </c>
      <c r="H282" t="s">
        <v>23</v>
      </c>
      <c r="I282">
        <v>5</v>
      </c>
      <c r="J282" t="s">
        <v>51</v>
      </c>
      <c r="K282">
        <v>2311.25</v>
      </c>
      <c r="L282">
        <v>2482.34</v>
      </c>
      <c r="M282" t="s">
        <v>25</v>
      </c>
      <c r="N282" s="30">
        <v>0.22</v>
      </c>
      <c r="O282" t="s">
        <v>47</v>
      </c>
      <c r="P282" t="s">
        <v>34</v>
      </c>
      <c r="Q282" t="s">
        <v>35</v>
      </c>
    </row>
    <row r="283" spans="1:17" x14ac:dyDescent="0.35">
      <c r="A283" t="s">
        <v>477</v>
      </c>
      <c r="B283">
        <v>1031</v>
      </c>
      <c r="C283" s="1">
        <v>45268</v>
      </c>
      <c r="D283" t="s">
        <v>272</v>
      </c>
      <c r="E283">
        <v>47</v>
      </c>
      <c r="F283" t="s">
        <v>21</v>
      </c>
      <c r="G283" t="s">
        <v>32</v>
      </c>
      <c r="H283" t="s">
        <v>44</v>
      </c>
      <c r="I283">
        <v>22</v>
      </c>
      <c r="J283" t="s">
        <v>39</v>
      </c>
      <c r="K283">
        <v>4236.05</v>
      </c>
      <c r="L283">
        <v>4382.32</v>
      </c>
      <c r="M283" t="s">
        <v>46</v>
      </c>
      <c r="N283" s="30">
        <v>0.03</v>
      </c>
      <c r="O283" t="s">
        <v>40</v>
      </c>
      <c r="P283" t="s">
        <v>27</v>
      </c>
      <c r="Q283" t="s">
        <v>28</v>
      </c>
    </row>
    <row r="284" spans="1:17" x14ac:dyDescent="0.35">
      <c r="A284" t="s">
        <v>478</v>
      </c>
      <c r="B284">
        <v>1094</v>
      </c>
      <c r="C284" s="1">
        <v>44989</v>
      </c>
      <c r="D284" t="s">
        <v>312</v>
      </c>
      <c r="E284">
        <v>56</v>
      </c>
      <c r="F284" t="s">
        <v>21</v>
      </c>
      <c r="G284" t="s">
        <v>81</v>
      </c>
      <c r="H284" t="s">
        <v>50</v>
      </c>
      <c r="I284">
        <v>49</v>
      </c>
      <c r="J284" t="s">
        <v>39</v>
      </c>
      <c r="K284">
        <v>615.47</v>
      </c>
      <c r="L284">
        <v>715.84</v>
      </c>
      <c r="M284" t="s">
        <v>25</v>
      </c>
      <c r="N284" s="30">
        <v>0.21</v>
      </c>
      <c r="O284" t="s">
        <v>47</v>
      </c>
      <c r="P284" t="s">
        <v>27</v>
      </c>
      <c r="Q284" t="s">
        <v>35</v>
      </c>
    </row>
    <row r="285" spans="1:17" x14ac:dyDescent="0.35">
      <c r="A285" t="s">
        <v>479</v>
      </c>
      <c r="B285">
        <v>1042</v>
      </c>
      <c r="C285" s="1">
        <v>45115</v>
      </c>
      <c r="D285" t="s">
        <v>158</v>
      </c>
      <c r="E285">
        <v>44</v>
      </c>
      <c r="F285" t="s">
        <v>65</v>
      </c>
      <c r="G285" t="s">
        <v>22</v>
      </c>
      <c r="H285" t="s">
        <v>33</v>
      </c>
      <c r="I285">
        <v>23</v>
      </c>
      <c r="J285" t="s">
        <v>51</v>
      </c>
      <c r="K285">
        <v>1314</v>
      </c>
      <c r="L285">
        <v>1567.78</v>
      </c>
      <c r="M285" t="s">
        <v>25</v>
      </c>
      <c r="N285" s="30">
        <v>0.15</v>
      </c>
      <c r="O285" t="s">
        <v>47</v>
      </c>
      <c r="P285" t="s">
        <v>34</v>
      </c>
      <c r="Q285" t="s">
        <v>28</v>
      </c>
    </row>
    <row r="286" spans="1:17" x14ac:dyDescent="0.35">
      <c r="A286" t="s">
        <v>480</v>
      </c>
      <c r="B286">
        <v>1099</v>
      </c>
      <c r="C286" s="1">
        <v>45286</v>
      </c>
      <c r="D286" t="s">
        <v>314</v>
      </c>
      <c r="E286">
        <v>53</v>
      </c>
      <c r="F286" t="s">
        <v>54</v>
      </c>
      <c r="G286" t="s">
        <v>81</v>
      </c>
      <c r="H286" t="s">
        <v>50</v>
      </c>
      <c r="I286">
        <v>25</v>
      </c>
      <c r="J286" t="s">
        <v>51</v>
      </c>
      <c r="K286">
        <v>4148.4799999999996</v>
      </c>
      <c r="L286">
        <v>4293.6899999999996</v>
      </c>
      <c r="M286" t="s">
        <v>46</v>
      </c>
      <c r="N286" s="30">
        <v>0.11</v>
      </c>
      <c r="O286" t="s">
        <v>40</v>
      </c>
      <c r="P286" t="s">
        <v>27</v>
      </c>
      <c r="Q286" t="s">
        <v>28</v>
      </c>
    </row>
    <row r="287" spans="1:17" x14ac:dyDescent="0.35">
      <c r="A287" t="s">
        <v>481</v>
      </c>
      <c r="B287">
        <v>1007</v>
      </c>
      <c r="C287" s="1">
        <v>44975</v>
      </c>
      <c r="D287" t="s">
        <v>127</v>
      </c>
      <c r="E287">
        <v>46</v>
      </c>
      <c r="F287" t="s">
        <v>21</v>
      </c>
      <c r="G287" t="s">
        <v>32</v>
      </c>
      <c r="H287" t="s">
        <v>50</v>
      </c>
      <c r="I287">
        <v>34</v>
      </c>
      <c r="J287" t="s">
        <v>45</v>
      </c>
      <c r="K287">
        <v>1921.07</v>
      </c>
      <c r="L287">
        <v>2289.27</v>
      </c>
      <c r="M287" t="s">
        <v>25</v>
      </c>
      <c r="N287" s="30">
        <v>7.0000000000000007E-2</v>
      </c>
      <c r="O287" t="s">
        <v>40</v>
      </c>
      <c r="P287" t="s">
        <v>34</v>
      </c>
      <c r="Q287" t="s">
        <v>35</v>
      </c>
    </row>
    <row r="288" spans="1:17" x14ac:dyDescent="0.35">
      <c r="A288" t="s">
        <v>482</v>
      </c>
      <c r="B288">
        <v>1016</v>
      </c>
      <c r="C288" s="1">
        <v>45253</v>
      </c>
      <c r="D288" t="s">
        <v>80</v>
      </c>
      <c r="E288">
        <v>55</v>
      </c>
      <c r="F288" t="s">
        <v>65</v>
      </c>
      <c r="G288" t="s">
        <v>22</v>
      </c>
      <c r="H288" t="s">
        <v>50</v>
      </c>
      <c r="I288">
        <v>26</v>
      </c>
      <c r="J288" t="s">
        <v>45</v>
      </c>
      <c r="K288">
        <v>4906.8500000000004</v>
      </c>
      <c r="L288">
        <v>6154.39</v>
      </c>
      <c r="M288" t="s">
        <v>46</v>
      </c>
      <c r="N288" s="30">
        <v>0.25</v>
      </c>
      <c r="O288" t="s">
        <v>40</v>
      </c>
      <c r="P288" t="s">
        <v>34</v>
      </c>
      <c r="Q288" t="s">
        <v>41</v>
      </c>
    </row>
    <row r="289" spans="1:17" x14ac:dyDescent="0.35">
      <c r="A289" t="s">
        <v>483</v>
      </c>
      <c r="B289">
        <v>1090</v>
      </c>
      <c r="C289" s="1">
        <v>45183</v>
      </c>
      <c r="D289" t="s">
        <v>192</v>
      </c>
      <c r="E289">
        <v>50</v>
      </c>
      <c r="F289" t="s">
        <v>31</v>
      </c>
      <c r="G289" t="s">
        <v>32</v>
      </c>
      <c r="H289" t="s">
        <v>23</v>
      </c>
      <c r="I289">
        <v>47</v>
      </c>
      <c r="J289" t="s">
        <v>45</v>
      </c>
      <c r="K289">
        <v>2357.9499999999998</v>
      </c>
      <c r="L289">
        <v>2693.33</v>
      </c>
      <c r="M289" t="s">
        <v>46</v>
      </c>
      <c r="N289" s="30">
        <v>0.18</v>
      </c>
      <c r="O289" t="s">
        <v>40</v>
      </c>
      <c r="P289" t="s">
        <v>34</v>
      </c>
      <c r="Q289" t="s">
        <v>35</v>
      </c>
    </row>
    <row r="290" spans="1:17" x14ac:dyDescent="0.35">
      <c r="A290" t="s">
        <v>484</v>
      </c>
      <c r="B290">
        <v>1060</v>
      </c>
      <c r="C290" s="1">
        <v>45150</v>
      </c>
      <c r="D290" t="s">
        <v>368</v>
      </c>
      <c r="E290">
        <v>54</v>
      </c>
      <c r="F290" t="s">
        <v>21</v>
      </c>
      <c r="G290" t="s">
        <v>38</v>
      </c>
      <c r="H290" t="s">
        <v>33</v>
      </c>
      <c r="I290">
        <v>5</v>
      </c>
      <c r="J290" t="s">
        <v>24</v>
      </c>
      <c r="K290">
        <v>3970.08</v>
      </c>
      <c r="L290">
        <v>5096.4799999999996</v>
      </c>
      <c r="M290" t="s">
        <v>25</v>
      </c>
      <c r="N290" s="30">
        <v>0.13</v>
      </c>
      <c r="O290" t="s">
        <v>26</v>
      </c>
      <c r="P290" t="s">
        <v>34</v>
      </c>
      <c r="Q290" t="s">
        <v>35</v>
      </c>
    </row>
    <row r="291" spans="1:17" x14ac:dyDescent="0.35">
      <c r="A291" t="s">
        <v>485</v>
      </c>
      <c r="B291">
        <v>1002</v>
      </c>
      <c r="C291" s="1">
        <v>45067</v>
      </c>
      <c r="D291" t="s">
        <v>282</v>
      </c>
      <c r="E291">
        <v>44</v>
      </c>
      <c r="F291" t="s">
        <v>65</v>
      </c>
      <c r="G291" t="s">
        <v>22</v>
      </c>
      <c r="H291" t="s">
        <v>33</v>
      </c>
      <c r="I291">
        <v>26</v>
      </c>
      <c r="J291" t="s">
        <v>45</v>
      </c>
      <c r="K291">
        <v>2041.42</v>
      </c>
      <c r="L291">
        <v>3291.17</v>
      </c>
      <c r="M291" t="s">
        <v>25</v>
      </c>
      <c r="N291" s="30">
        <v>0.28000000000000003</v>
      </c>
      <c r="O291" t="s">
        <v>26</v>
      </c>
      <c r="P291" t="s">
        <v>27</v>
      </c>
      <c r="Q291" t="s">
        <v>35</v>
      </c>
    </row>
    <row r="292" spans="1:17" x14ac:dyDescent="0.35">
      <c r="A292" t="s">
        <v>486</v>
      </c>
      <c r="B292">
        <v>1001</v>
      </c>
      <c r="C292" s="1">
        <v>45141</v>
      </c>
      <c r="D292" t="s">
        <v>205</v>
      </c>
      <c r="E292">
        <v>50</v>
      </c>
      <c r="F292" t="s">
        <v>65</v>
      </c>
      <c r="G292" t="s">
        <v>38</v>
      </c>
      <c r="H292" t="s">
        <v>50</v>
      </c>
      <c r="I292">
        <v>20</v>
      </c>
      <c r="J292" t="s">
        <v>39</v>
      </c>
      <c r="K292">
        <v>2153.52</v>
      </c>
      <c r="L292">
        <v>2303.6999999999998</v>
      </c>
      <c r="M292" t="s">
        <v>25</v>
      </c>
      <c r="N292" s="30">
        <v>0.01</v>
      </c>
      <c r="O292" t="s">
        <v>26</v>
      </c>
      <c r="P292" t="s">
        <v>34</v>
      </c>
      <c r="Q292" t="s">
        <v>41</v>
      </c>
    </row>
    <row r="293" spans="1:17" x14ac:dyDescent="0.35">
      <c r="A293" t="s">
        <v>487</v>
      </c>
      <c r="B293">
        <v>1048</v>
      </c>
      <c r="C293" s="1">
        <v>45137</v>
      </c>
      <c r="D293" t="s">
        <v>254</v>
      </c>
      <c r="E293">
        <v>21</v>
      </c>
      <c r="F293" t="s">
        <v>100</v>
      </c>
      <c r="G293" t="s">
        <v>81</v>
      </c>
      <c r="H293" t="s">
        <v>23</v>
      </c>
      <c r="I293">
        <v>6</v>
      </c>
      <c r="J293" t="s">
        <v>24</v>
      </c>
      <c r="K293">
        <v>1945.27</v>
      </c>
      <c r="L293">
        <v>2309.4299999999998</v>
      </c>
      <c r="M293" t="s">
        <v>46</v>
      </c>
      <c r="N293" s="30">
        <v>0.26</v>
      </c>
      <c r="O293" t="s">
        <v>47</v>
      </c>
      <c r="P293" t="s">
        <v>34</v>
      </c>
      <c r="Q293" t="s">
        <v>28</v>
      </c>
    </row>
    <row r="294" spans="1:17" x14ac:dyDescent="0.35">
      <c r="A294" t="s">
        <v>488</v>
      </c>
      <c r="B294">
        <v>1012</v>
      </c>
      <c r="C294" s="1">
        <v>45244</v>
      </c>
      <c r="D294" t="s">
        <v>119</v>
      </c>
      <c r="E294">
        <v>39</v>
      </c>
      <c r="F294" t="s">
        <v>31</v>
      </c>
      <c r="G294" t="s">
        <v>81</v>
      </c>
      <c r="H294" t="s">
        <v>23</v>
      </c>
      <c r="I294">
        <v>6</v>
      </c>
      <c r="J294" t="s">
        <v>45</v>
      </c>
      <c r="K294">
        <v>3609.42</v>
      </c>
      <c r="L294">
        <v>4082.62</v>
      </c>
      <c r="M294" t="s">
        <v>25</v>
      </c>
      <c r="N294" s="30">
        <v>0.3</v>
      </c>
      <c r="O294" t="s">
        <v>40</v>
      </c>
      <c r="P294" t="s">
        <v>27</v>
      </c>
      <c r="Q294" t="s">
        <v>35</v>
      </c>
    </row>
    <row r="295" spans="1:17" x14ac:dyDescent="0.35">
      <c r="A295" t="s">
        <v>489</v>
      </c>
      <c r="B295">
        <v>1069</v>
      </c>
      <c r="C295" s="1">
        <v>44958</v>
      </c>
      <c r="D295" t="s">
        <v>454</v>
      </c>
      <c r="E295">
        <v>19</v>
      </c>
      <c r="F295" t="s">
        <v>100</v>
      </c>
      <c r="G295" t="s">
        <v>22</v>
      </c>
      <c r="H295" t="s">
        <v>33</v>
      </c>
      <c r="I295">
        <v>18</v>
      </c>
      <c r="J295" t="s">
        <v>24</v>
      </c>
      <c r="K295">
        <v>2760.21</v>
      </c>
      <c r="L295">
        <v>3219.58</v>
      </c>
      <c r="M295" t="s">
        <v>46</v>
      </c>
      <c r="N295" s="30">
        <v>0.27</v>
      </c>
      <c r="O295" t="s">
        <v>40</v>
      </c>
      <c r="P295" t="s">
        <v>34</v>
      </c>
      <c r="Q295" t="s">
        <v>35</v>
      </c>
    </row>
    <row r="296" spans="1:17" x14ac:dyDescent="0.35">
      <c r="A296" t="s">
        <v>490</v>
      </c>
      <c r="B296">
        <v>1037</v>
      </c>
      <c r="C296" s="1">
        <v>45084</v>
      </c>
      <c r="D296" t="s">
        <v>473</v>
      </c>
      <c r="E296">
        <v>27</v>
      </c>
      <c r="F296" t="s">
        <v>54</v>
      </c>
      <c r="G296" t="s">
        <v>22</v>
      </c>
      <c r="H296" t="s">
        <v>23</v>
      </c>
      <c r="I296">
        <v>4</v>
      </c>
      <c r="J296" t="s">
        <v>39</v>
      </c>
      <c r="K296">
        <v>4721.7</v>
      </c>
      <c r="L296">
        <v>5017.58</v>
      </c>
      <c r="M296" t="s">
        <v>46</v>
      </c>
      <c r="N296" s="30">
        <v>0.24</v>
      </c>
      <c r="O296" t="s">
        <v>26</v>
      </c>
      <c r="P296" t="s">
        <v>34</v>
      </c>
      <c r="Q296" t="s">
        <v>41</v>
      </c>
    </row>
    <row r="297" spans="1:17" x14ac:dyDescent="0.35">
      <c r="A297" t="s">
        <v>491</v>
      </c>
      <c r="B297">
        <v>1032</v>
      </c>
      <c r="C297" s="1">
        <v>45211</v>
      </c>
      <c r="D297" t="s">
        <v>158</v>
      </c>
      <c r="E297">
        <v>22</v>
      </c>
      <c r="F297" t="s">
        <v>100</v>
      </c>
      <c r="G297" t="s">
        <v>32</v>
      </c>
      <c r="H297" t="s">
        <v>23</v>
      </c>
      <c r="I297">
        <v>17</v>
      </c>
      <c r="J297" t="s">
        <v>45</v>
      </c>
      <c r="K297">
        <v>1291.9100000000001</v>
      </c>
      <c r="L297">
        <v>1528.59</v>
      </c>
      <c r="M297" t="s">
        <v>25</v>
      </c>
      <c r="N297" s="30">
        <v>0.11</v>
      </c>
      <c r="O297" t="s">
        <v>47</v>
      </c>
      <c r="P297" t="s">
        <v>34</v>
      </c>
      <c r="Q297" t="s">
        <v>35</v>
      </c>
    </row>
    <row r="298" spans="1:17" x14ac:dyDescent="0.35">
      <c r="A298" t="s">
        <v>492</v>
      </c>
      <c r="B298">
        <v>1009</v>
      </c>
      <c r="C298" s="1">
        <v>45231</v>
      </c>
      <c r="D298" t="s">
        <v>493</v>
      </c>
      <c r="E298">
        <v>27</v>
      </c>
      <c r="F298" t="s">
        <v>100</v>
      </c>
      <c r="G298" t="s">
        <v>32</v>
      </c>
      <c r="H298" t="s">
        <v>23</v>
      </c>
      <c r="I298">
        <v>14</v>
      </c>
      <c r="J298" t="s">
        <v>39</v>
      </c>
      <c r="K298">
        <v>547.79</v>
      </c>
      <c r="L298">
        <v>958.76</v>
      </c>
      <c r="M298" t="s">
        <v>25</v>
      </c>
      <c r="N298" s="30">
        <v>7.0000000000000007E-2</v>
      </c>
      <c r="O298" t="s">
        <v>47</v>
      </c>
      <c r="P298" t="s">
        <v>34</v>
      </c>
      <c r="Q298" t="s">
        <v>28</v>
      </c>
    </row>
    <row r="299" spans="1:17" x14ac:dyDescent="0.35">
      <c r="A299" t="s">
        <v>494</v>
      </c>
      <c r="B299">
        <v>1099</v>
      </c>
      <c r="C299" s="1">
        <v>45212</v>
      </c>
      <c r="D299" t="s">
        <v>154</v>
      </c>
      <c r="E299">
        <v>50</v>
      </c>
      <c r="F299" t="s">
        <v>21</v>
      </c>
      <c r="G299" t="s">
        <v>38</v>
      </c>
      <c r="H299" t="s">
        <v>44</v>
      </c>
      <c r="I299">
        <v>14</v>
      </c>
      <c r="J299" t="s">
        <v>39</v>
      </c>
      <c r="K299">
        <v>1996.64</v>
      </c>
      <c r="L299">
        <v>2341.4699999999998</v>
      </c>
      <c r="M299" t="s">
        <v>25</v>
      </c>
      <c r="N299" s="30">
        <v>0.22</v>
      </c>
      <c r="O299" t="s">
        <v>47</v>
      </c>
      <c r="P299" t="s">
        <v>27</v>
      </c>
      <c r="Q299" t="s">
        <v>41</v>
      </c>
    </row>
    <row r="300" spans="1:17" x14ac:dyDescent="0.35">
      <c r="A300" t="s">
        <v>495</v>
      </c>
      <c r="B300">
        <v>1019</v>
      </c>
      <c r="C300" s="1">
        <v>45070</v>
      </c>
      <c r="D300" t="s">
        <v>91</v>
      </c>
      <c r="E300">
        <v>55</v>
      </c>
      <c r="F300" t="s">
        <v>65</v>
      </c>
      <c r="G300" t="s">
        <v>22</v>
      </c>
      <c r="H300" t="s">
        <v>50</v>
      </c>
      <c r="I300">
        <v>13</v>
      </c>
      <c r="J300" t="s">
        <v>39</v>
      </c>
      <c r="K300">
        <v>3102.73</v>
      </c>
      <c r="L300">
        <v>3202.68</v>
      </c>
      <c r="M300" t="s">
        <v>46</v>
      </c>
      <c r="N300" s="30">
        <v>0.09</v>
      </c>
      <c r="O300" t="s">
        <v>26</v>
      </c>
      <c r="P300" t="s">
        <v>34</v>
      </c>
      <c r="Q300" t="s">
        <v>28</v>
      </c>
    </row>
    <row r="301" spans="1:17" x14ac:dyDescent="0.35">
      <c r="A301" t="s">
        <v>496</v>
      </c>
      <c r="B301">
        <v>1048</v>
      </c>
      <c r="C301" s="1">
        <v>44945</v>
      </c>
      <c r="D301" t="s">
        <v>497</v>
      </c>
      <c r="E301">
        <v>30</v>
      </c>
      <c r="F301" t="s">
        <v>31</v>
      </c>
      <c r="G301" t="s">
        <v>81</v>
      </c>
      <c r="H301" t="s">
        <v>33</v>
      </c>
      <c r="I301">
        <v>7</v>
      </c>
      <c r="J301" t="s">
        <v>45</v>
      </c>
      <c r="K301">
        <v>4310.95</v>
      </c>
      <c r="L301">
        <v>4723.2</v>
      </c>
      <c r="M301" t="s">
        <v>25</v>
      </c>
      <c r="N301" s="30">
        <v>0.05</v>
      </c>
      <c r="O301" t="s">
        <v>47</v>
      </c>
      <c r="P301" t="s">
        <v>27</v>
      </c>
      <c r="Q301"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F2EC-EA1C-4B1F-9766-3AB5D0CB1B10}">
  <sheetPr>
    <tabColor theme="9" tint="0.79998168889431442"/>
  </sheetPr>
  <dimension ref="A1:O341"/>
  <sheetViews>
    <sheetView topLeftCell="A2" zoomScale="91" workbookViewId="0">
      <selection activeCell="B24" sqref="B24"/>
    </sheetView>
  </sheetViews>
  <sheetFormatPr defaultRowHeight="14.5" x14ac:dyDescent="0.35"/>
  <cols>
    <col min="1" max="1" width="12.1796875" bestFit="1" customWidth="1"/>
    <col min="2" max="2" width="26.26953125" customWidth="1"/>
    <col min="3" max="3" width="16.08984375" bestFit="1" customWidth="1"/>
    <col min="4" max="4" width="20.81640625" bestFit="1" customWidth="1"/>
    <col min="5" max="5" width="12.453125" bestFit="1" customWidth="1"/>
    <col min="11" max="11" width="15.81640625" bestFit="1" customWidth="1"/>
    <col min="12" max="12" width="14.6328125" customWidth="1"/>
    <col min="13" max="13" width="14.6328125" bestFit="1" customWidth="1"/>
  </cols>
  <sheetData>
    <row r="1" spans="1:15" ht="25" x14ac:dyDescent="0.5">
      <c r="A1" s="35" t="s">
        <v>508</v>
      </c>
      <c r="B1" s="35"/>
      <c r="I1" s="33" t="s">
        <v>510</v>
      </c>
      <c r="J1" s="33"/>
      <c r="K1" s="33"/>
      <c r="L1" s="33"/>
      <c r="M1" s="33"/>
    </row>
    <row r="2" spans="1:15" x14ac:dyDescent="0.35">
      <c r="A2" s="2" t="s">
        <v>511</v>
      </c>
      <c r="B2" s="2"/>
    </row>
    <row r="3" spans="1:15" x14ac:dyDescent="0.35">
      <c r="A3" s="34" t="s">
        <v>498</v>
      </c>
      <c r="B3" s="34"/>
      <c r="C3" s="34"/>
      <c r="D3" s="34"/>
      <c r="E3" s="34"/>
      <c r="J3" s="34" t="s">
        <v>521</v>
      </c>
      <c r="K3" s="34"/>
      <c r="L3" s="34"/>
      <c r="M3" s="34"/>
      <c r="N3" s="2"/>
      <c r="O3" s="2"/>
    </row>
    <row r="5" spans="1:15" ht="15" thickBot="1" x14ac:dyDescent="0.4">
      <c r="B5" s="14" t="s">
        <v>7</v>
      </c>
      <c r="C5" s="14" t="s">
        <v>500</v>
      </c>
      <c r="K5" s="27" t="s">
        <v>12</v>
      </c>
      <c r="L5" s="27" t="s">
        <v>505</v>
      </c>
    </row>
    <row r="6" spans="1:15" x14ac:dyDescent="0.35">
      <c r="B6" s="15" t="s">
        <v>23</v>
      </c>
      <c r="C6" s="16">
        <f>SUMIF('Cleaned data'!I2:I301,Functions!B6,'Cleaned data'!S2:S301)</f>
        <v>6273772.084499998</v>
      </c>
      <c r="K6" s="28" t="s">
        <v>46</v>
      </c>
      <c r="L6" s="28">
        <f>SUMIF('Cleaned data'!N2:N301,Functions!K6,'Cleaned data'!S2:S301)</f>
        <v>9059644.2926999982</v>
      </c>
    </row>
    <row r="7" spans="1:15" x14ac:dyDescent="0.35">
      <c r="B7" s="17" t="s">
        <v>33</v>
      </c>
      <c r="C7" s="18">
        <f>SUMIF('Cleaned data'!I3:I302,Functions!B7,'Cleaned data'!S3:S302)</f>
        <v>4663455.6309000012</v>
      </c>
      <c r="K7" s="28" t="s">
        <v>25</v>
      </c>
      <c r="L7" s="28">
        <f>SUMIF('Cleaned data'!N3:N302,Functions!K7,'Cleaned data'!S3:S302)</f>
        <v>10697894.872199995</v>
      </c>
    </row>
    <row r="8" spans="1:15" x14ac:dyDescent="0.35">
      <c r="B8" s="17" t="s">
        <v>499</v>
      </c>
      <c r="C8" s="18">
        <f>SUMIF('Cleaned data'!I4:I303,Functions!B8,'Cleaned data'!S4:S303)</f>
        <v>4613541.8208000008</v>
      </c>
    </row>
    <row r="9" spans="1:15" ht="15" thickBot="1" x14ac:dyDescent="0.4">
      <c r="B9" s="19" t="s">
        <v>50</v>
      </c>
      <c r="C9" s="20">
        <f>SUMIF('Cleaned data'!I5:I304,Functions!B9,'Cleaned data'!S5:S304)</f>
        <v>4211146.6922999993</v>
      </c>
      <c r="J9" s="2" t="s">
        <v>530</v>
      </c>
      <c r="K9" s="12"/>
      <c r="L9" s="12"/>
      <c r="M9" s="11"/>
    </row>
    <row r="11" spans="1:15" x14ac:dyDescent="0.35">
      <c r="K11" s="27" t="s">
        <v>523</v>
      </c>
      <c r="L11" s="27" t="s">
        <v>505</v>
      </c>
    </row>
    <row r="12" spans="1:15" x14ac:dyDescent="0.35">
      <c r="A12" s="34" t="s">
        <v>501</v>
      </c>
      <c r="B12" s="34"/>
      <c r="C12" s="34"/>
      <c r="D12" s="34"/>
      <c r="E12" s="34"/>
      <c r="K12" s="28" t="s">
        <v>524</v>
      </c>
      <c r="L12" s="28">
        <f>SUMIF('Cleaned data'!V2:V301,Functions!K12,'Cleaned data'!S2:S301)</f>
        <v>9815584.9555999953</v>
      </c>
    </row>
    <row r="13" spans="1:15" x14ac:dyDescent="0.35">
      <c r="K13" s="28" t="s">
        <v>525</v>
      </c>
      <c r="L13" s="28">
        <f>SUMIF('Cleaned data'!V3:V302,Functions!K13,'Cleaned data'!S3:S302)</f>
        <v>6554553.7282999987</v>
      </c>
    </row>
    <row r="14" spans="1:15" x14ac:dyDescent="0.35">
      <c r="B14" s="13" t="s">
        <v>9</v>
      </c>
      <c r="C14" s="13" t="s">
        <v>502</v>
      </c>
      <c r="K14" s="28" t="s">
        <v>526</v>
      </c>
      <c r="L14" s="28">
        <f>SUMIF('Cleaned data'!V4:V303,Functions!K14,'Cleaned data'!S4:S303)</f>
        <v>3391777.5445999997</v>
      </c>
    </row>
    <row r="15" spans="1:15" x14ac:dyDescent="0.35">
      <c r="B15" s="21" t="s">
        <v>24</v>
      </c>
      <c r="C15" s="21">
        <f>SUMIF('Cleaned data'!K5:K304,Functions!B18,'Cleaned data'!U5:U304)</f>
        <v>-13088.39480000002</v>
      </c>
    </row>
    <row r="16" spans="1:15" x14ac:dyDescent="0.35">
      <c r="B16" s="21" t="s">
        <v>39</v>
      </c>
      <c r="C16" s="21">
        <f>SUMIF('Cleaned data'!K4:K303,Functions!B17,'Cleaned data'!U4:U303)</f>
        <v>-114312.43339999998</v>
      </c>
      <c r="J16" s="34" t="s">
        <v>527</v>
      </c>
      <c r="K16" s="34"/>
      <c r="L16" s="34"/>
      <c r="M16" s="34"/>
      <c r="N16" s="34"/>
    </row>
    <row r="17" spans="1:13" x14ac:dyDescent="0.35">
      <c r="B17" s="21" t="s">
        <v>51</v>
      </c>
      <c r="C17" s="21">
        <f>SUMIF('Cleaned data'!K3:K302,Functions!B16,'Cleaned data'!U3:U302)</f>
        <v>62494.340300000011</v>
      </c>
    </row>
    <row r="18" spans="1:13" x14ac:dyDescent="0.35">
      <c r="B18" s="21" t="s">
        <v>45</v>
      </c>
      <c r="C18" s="21">
        <f>SUMIF('Cleaned data'!K2:K301,Functions!B15,'Cleaned data'!U2:U301)</f>
        <v>96472.606400000048</v>
      </c>
      <c r="K18" s="27" t="s">
        <v>14</v>
      </c>
      <c r="L18" s="27" t="s">
        <v>528</v>
      </c>
    </row>
    <row r="19" spans="1:13" x14ac:dyDescent="0.35">
      <c r="K19" s="28" t="s">
        <v>40</v>
      </c>
      <c r="L19" s="28">
        <f>COUNTIF('Cleaned data'!P2:P301,K19)</f>
        <v>108</v>
      </c>
    </row>
    <row r="20" spans="1:13" x14ac:dyDescent="0.35">
      <c r="A20" s="34" t="s">
        <v>503</v>
      </c>
      <c r="B20" s="34"/>
      <c r="C20" s="34"/>
      <c r="D20" s="34"/>
      <c r="K20" s="28" t="s">
        <v>26</v>
      </c>
      <c r="L20" s="28">
        <f>COUNTIF('Cleaned data'!P3:P302,K20)</f>
        <v>86</v>
      </c>
    </row>
    <row r="21" spans="1:13" x14ac:dyDescent="0.35">
      <c r="K21" s="28" t="s">
        <v>47</v>
      </c>
      <c r="L21" s="28">
        <f>COUNTIF('Cleaned data'!P4:P303,K21)</f>
        <v>105</v>
      </c>
    </row>
    <row r="22" spans="1:13" x14ac:dyDescent="0.35">
      <c r="B22" s="22" t="s">
        <v>16</v>
      </c>
      <c r="C22" s="22" t="s">
        <v>505</v>
      </c>
    </row>
    <row r="23" spans="1:13" x14ac:dyDescent="0.35">
      <c r="B23" s="21" t="s">
        <v>504</v>
      </c>
      <c r="C23" s="21">
        <f>SUMIFS('Cleaned data'!S2:S301,'Cleaned data'!R2:R301,"Delivered")</f>
        <v>6587419.8155000042</v>
      </c>
      <c r="J23" s="34" t="s">
        <v>529</v>
      </c>
      <c r="K23" s="34"/>
      <c r="L23" s="34"/>
      <c r="M23" s="34"/>
    </row>
    <row r="25" spans="1:13" x14ac:dyDescent="0.35">
      <c r="A25" s="34" t="s">
        <v>506</v>
      </c>
      <c r="B25" s="34"/>
      <c r="C25" s="34"/>
      <c r="D25" s="34"/>
      <c r="K25" s="27" t="s">
        <v>507</v>
      </c>
      <c r="L25" s="27" t="s">
        <v>505</v>
      </c>
      <c r="M25" s="27" t="s">
        <v>528</v>
      </c>
    </row>
    <row r="26" spans="1:13" x14ac:dyDescent="0.35">
      <c r="K26" s="28" t="s">
        <v>34</v>
      </c>
      <c r="L26" s="28">
        <f>SUMIF('Cleaned data'!Q2:Q301,Functions!K26,'Cleaned data'!S2:S301)</f>
        <v>10677405.023799993</v>
      </c>
      <c r="M26" s="28">
        <f>COUNTIF('Cleaned data'!Q2:Q301,K26)</f>
        <v>153</v>
      </c>
    </row>
    <row r="27" spans="1:13" x14ac:dyDescent="0.35">
      <c r="B27" s="22" t="s">
        <v>507</v>
      </c>
      <c r="C27" s="22" t="s">
        <v>505</v>
      </c>
      <c r="K27" s="28" t="s">
        <v>27</v>
      </c>
      <c r="L27" s="28">
        <f>SUMIF('Cleaned data'!Q3:Q302,Functions!K27,'Cleaned data'!S3:S302)</f>
        <v>9080134.1411000006</v>
      </c>
      <c r="M27" s="28">
        <f>COUNTIF('Cleaned data'!Q3:Q302,K27)</f>
        <v>146</v>
      </c>
    </row>
    <row r="28" spans="1:13" x14ac:dyDescent="0.35">
      <c r="B28" s="21" t="s">
        <v>34</v>
      </c>
      <c r="C28" s="21">
        <f>SUMIF('Cleaned data'!Q2:Q301,Functions!B28,'Cleaned data'!S2:S301)</f>
        <v>10677405.023799993</v>
      </c>
    </row>
    <row r="29" spans="1:13" x14ac:dyDescent="0.35">
      <c r="B29" s="21" t="s">
        <v>27</v>
      </c>
      <c r="C29" s="21">
        <f>SUMIF('Cleaned data'!Q3:Q302,Functions!B29,'Cleaned data'!S3:S302)</f>
        <v>9080134.1411000006</v>
      </c>
    </row>
    <row r="31" spans="1:13" x14ac:dyDescent="0.35">
      <c r="B31" t="s">
        <v>509</v>
      </c>
    </row>
    <row r="32" spans="1:13" x14ac:dyDescent="0.35">
      <c r="A32" s="2" t="s">
        <v>518</v>
      </c>
    </row>
    <row r="34" spans="1:5" x14ac:dyDescent="0.35">
      <c r="A34" s="34" t="s">
        <v>512</v>
      </c>
      <c r="B34" s="34"/>
      <c r="C34" s="34"/>
      <c r="D34" s="34"/>
      <c r="E34" s="34"/>
    </row>
    <row r="35" spans="1:5" x14ac:dyDescent="0.35">
      <c r="A35" s="34" t="s">
        <v>514</v>
      </c>
      <c r="B35" s="34"/>
      <c r="C35" s="34"/>
      <c r="D35" s="34"/>
      <c r="E35" s="34"/>
    </row>
    <row r="36" spans="1:5" x14ac:dyDescent="0.35">
      <c r="A36" s="34" t="s">
        <v>516</v>
      </c>
      <c r="B36" s="34"/>
      <c r="C36" s="34"/>
      <c r="D36" s="34"/>
      <c r="E36" s="34"/>
    </row>
    <row r="37" spans="1:5" x14ac:dyDescent="0.35">
      <c r="A37" s="34" t="s">
        <v>519</v>
      </c>
      <c r="B37" s="34"/>
      <c r="C37" s="34"/>
      <c r="D37" s="34"/>
      <c r="E37" s="11"/>
    </row>
    <row r="41" spans="1:5" x14ac:dyDescent="0.35">
      <c r="A41" s="23" t="s">
        <v>0</v>
      </c>
      <c r="B41" s="24" t="s">
        <v>513</v>
      </c>
      <c r="C41" s="23" t="s">
        <v>515</v>
      </c>
      <c r="D41" s="23" t="s">
        <v>517</v>
      </c>
      <c r="E41" s="23" t="s">
        <v>520</v>
      </c>
    </row>
    <row r="42" spans="1:5" x14ac:dyDescent="0.35">
      <c r="A42" s="25" t="s">
        <v>19</v>
      </c>
      <c r="B42" s="26" t="str">
        <f>IF(AND('Cleaned data'!S2&gt;2000,'Cleaned data'!U2&gt;0),"High Value","Normal")</f>
        <v>High Value</v>
      </c>
      <c r="C42" s="25" t="str">
        <f>IF(OR('Cleaned data'!O2&gt;0.3,'Cleaned data'!J2&lt;2),"Risky","Safe")</f>
        <v>Safe</v>
      </c>
      <c r="D42" s="25" t="str">
        <f>IF('Cleaned data'!R2="Delivered","Completed","Not Completed")</f>
        <v>Completed</v>
      </c>
      <c r="E42" s="25" t="str">
        <f>IF('Cleaned data'!J2&gt;=15,"Bulk Order",
 IF('Cleaned data'!J2&gt;=5,"Normal Order",
 "Small Order"))</f>
        <v>Bulk Order</v>
      </c>
    </row>
    <row r="43" spans="1:5" x14ac:dyDescent="0.35">
      <c r="A43" s="25" t="s">
        <v>29</v>
      </c>
      <c r="B43" s="26" t="str">
        <f>IF(AND('Cleaned data'!S3&gt;2000,'Cleaned data'!U3&gt;0),"High Value","Normal")</f>
        <v>Normal</v>
      </c>
      <c r="C43" s="25" t="str">
        <f>IF(OR('Cleaned data'!O3&gt;0.3,'Cleaned data'!J3&lt;2),"Risky","Safe")</f>
        <v>Safe</v>
      </c>
      <c r="D43" s="25" t="str">
        <f>IF('Cleaned data'!R3="Delivered","Completed","Not Completed")</f>
        <v>Not Completed</v>
      </c>
      <c r="E43" s="25" t="str">
        <f>IF('Cleaned data'!J3&gt;=15,"Bulk Order",
 IF('Cleaned data'!J3&gt;=5,"Normal Order",
 "Small Order"))</f>
        <v>Bulk Order</v>
      </c>
    </row>
    <row r="44" spans="1:5" x14ac:dyDescent="0.35">
      <c r="A44" s="25" t="s">
        <v>36</v>
      </c>
      <c r="B44" s="26" t="str">
        <f>IF(AND('Cleaned data'!S4&gt;2000,'Cleaned data'!U4&gt;0),"High Value","Normal")</f>
        <v>High Value</v>
      </c>
      <c r="C44" s="25" t="str">
        <f>IF(OR('Cleaned data'!O4&gt;0.3,'Cleaned data'!J4&lt;2),"Risky","Safe")</f>
        <v>Safe</v>
      </c>
      <c r="D44" s="25" t="str">
        <f>IF('Cleaned data'!R4="Delivered","Completed","Not Completed")</f>
        <v>Not Completed</v>
      </c>
      <c r="E44" s="25" t="str">
        <f>IF('Cleaned data'!J4&gt;=15,"Bulk Order",
 IF('Cleaned data'!J4&gt;=5,"Normal Order",
 "Small Order"))</f>
        <v>Bulk Order</v>
      </c>
    </row>
    <row r="45" spans="1:5" x14ac:dyDescent="0.35">
      <c r="A45" s="25" t="s">
        <v>42</v>
      </c>
      <c r="B45" s="26" t="str">
        <f>IF(AND('Cleaned data'!S5&gt;2000,'Cleaned data'!U5&gt;0),"High Value","Normal")</f>
        <v>High Value</v>
      </c>
      <c r="C45" s="25" t="str">
        <f>IF(OR('Cleaned data'!O5&gt;0.3,'Cleaned data'!J5&lt;2),"Risky","Safe")</f>
        <v>Safe</v>
      </c>
      <c r="D45" s="25" t="str">
        <f>IF('Cleaned data'!R5="Delivered","Completed","Not Completed")</f>
        <v>Completed</v>
      </c>
      <c r="E45" s="25" t="str">
        <f>IF('Cleaned data'!J5&gt;=15,"Bulk Order",
 IF('Cleaned data'!J5&gt;=5,"Normal Order",
 "Small Order"))</f>
        <v>Bulk Order</v>
      </c>
    </row>
    <row r="46" spans="1:5" x14ac:dyDescent="0.35">
      <c r="A46" s="25" t="s">
        <v>48</v>
      </c>
      <c r="B46" s="26" t="str">
        <f>IF(AND('Cleaned data'!S6&gt;2000,'Cleaned data'!U6&gt;0),"High Value","Normal")</f>
        <v>Normal</v>
      </c>
      <c r="C46" s="25" t="str">
        <f>IF(OR('Cleaned data'!O6&gt;0.3,'Cleaned data'!J6&lt;2),"Risky","Safe")</f>
        <v>Safe</v>
      </c>
      <c r="D46" s="25" t="str">
        <f>IF('Cleaned data'!R6="Delivered","Completed","Not Completed")</f>
        <v>Not Completed</v>
      </c>
      <c r="E46" s="25" t="str">
        <f>IF('Cleaned data'!J6&gt;=15,"Bulk Order",
 IF('Cleaned data'!J6&gt;=5,"Normal Order",
 "Small Order"))</f>
        <v>Normal Order</v>
      </c>
    </row>
    <row r="47" spans="1:5" x14ac:dyDescent="0.35">
      <c r="A47" s="25" t="s">
        <v>52</v>
      </c>
      <c r="B47" s="26" t="str">
        <f>IF(AND('Cleaned data'!S7&gt;2000,'Cleaned data'!U7&gt;0),"High Value","Normal")</f>
        <v>Normal</v>
      </c>
      <c r="C47" s="25" t="str">
        <f>IF(OR('Cleaned data'!O7&gt;0.3,'Cleaned data'!J7&lt;2),"Risky","Safe")</f>
        <v>Safe</v>
      </c>
      <c r="D47" s="25" t="str">
        <f>IF('Cleaned data'!R7="Delivered","Completed","Not Completed")</f>
        <v>Not Completed</v>
      </c>
      <c r="E47" s="25" t="str">
        <f>IF('Cleaned data'!J7&gt;=15,"Bulk Order",
 IF('Cleaned data'!J7&gt;=5,"Normal Order",
 "Small Order"))</f>
        <v>Bulk Order</v>
      </c>
    </row>
    <row r="48" spans="1:5" x14ac:dyDescent="0.35">
      <c r="A48" s="25" t="s">
        <v>55</v>
      </c>
      <c r="B48" s="26" t="str">
        <f>IF(AND('Cleaned data'!S8&gt;2000,'Cleaned data'!U8&gt;0),"High Value","Normal")</f>
        <v>High Value</v>
      </c>
      <c r="C48" s="25" t="str">
        <f>IF(OR('Cleaned data'!O8&gt;0.3,'Cleaned data'!J8&lt;2),"Risky","Safe")</f>
        <v>Safe</v>
      </c>
      <c r="D48" s="25" t="str">
        <f>IF('Cleaned data'!R8="Delivered","Completed","Not Completed")</f>
        <v>Not Completed</v>
      </c>
      <c r="E48" s="25" t="str">
        <f>IF('Cleaned data'!J8&gt;=15,"Bulk Order",
 IF('Cleaned data'!J8&gt;=5,"Normal Order",
 "Small Order"))</f>
        <v>Bulk Order</v>
      </c>
    </row>
    <row r="49" spans="1:5" x14ac:dyDescent="0.35">
      <c r="A49" s="25" t="s">
        <v>57</v>
      </c>
      <c r="B49" s="26" t="str">
        <f>IF(AND('Cleaned data'!S9&gt;2000,'Cleaned data'!U9&gt;0),"High Value","Normal")</f>
        <v>Normal</v>
      </c>
      <c r="C49" s="25" t="str">
        <f>IF(OR('Cleaned data'!O9&gt;0.3,'Cleaned data'!J9&lt;2),"Risky","Safe")</f>
        <v>Safe</v>
      </c>
      <c r="D49" s="25" t="str">
        <f>IF('Cleaned data'!R9="Delivered","Completed","Not Completed")</f>
        <v>Not Completed</v>
      </c>
      <c r="E49" s="25" t="str">
        <f>IF('Cleaned data'!J9&gt;=15,"Bulk Order",
 IF('Cleaned data'!J9&gt;=5,"Normal Order",
 "Small Order"))</f>
        <v>Bulk Order</v>
      </c>
    </row>
    <row r="50" spans="1:5" x14ac:dyDescent="0.35">
      <c r="A50" s="25" t="s">
        <v>59</v>
      </c>
      <c r="B50" s="26" t="str">
        <f>IF(AND('Cleaned data'!S10&gt;2000,'Cleaned data'!U10&gt;0),"High Value","Normal")</f>
        <v>High Value</v>
      </c>
      <c r="C50" s="25" t="str">
        <f>IF(OR('Cleaned data'!O10&gt;0.3,'Cleaned data'!J10&lt;2),"Risky","Safe")</f>
        <v>Safe</v>
      </c>
      <c r="D50" s="25" t="str">
        <f>IF('Cleaned data'!R10="Delivered","Completed","Not Completed")</f>
        <v>Not Completed</v>
      </c>
      <c r="E50" s="25" t="str">
        <f>IF('Cleaned data'!J10&gt;=15,"Bulk Order",
 IF('Cleaned data'!J10&gt;=5,"Normal Order",
 "Small Order"))</f>
        <v>Bulk Order</v>
      </c>
    </row>
    <row r="51" spans="1:5" x14ac:dyDescent="0.35">
      <c r="A51" s="25" t="s">
        <v>61</v>
      </c>
      <c r="B51" s="26" t="str">
        <f>IF(AND('Cleaned data'!S11&gt;2000,'Cleaned data'!U11&gt;0),"High Value","Normal")</f>
        <v>High Value</v>
      </c>
      <c r="C51" s="25" t="str">
        <f>IF(OR('Cleaned data'!O11&gt;0.3,'Cleaned data'!J11&lt;2),"Risky","Safe")</f>
        <v>Safe</v>
      </c>
      <c r="D51" s="25" t="str">
        <f>IF('Cleaned data'!R11="Delivered","Completed","Not Completed")</f>
        <v>Completed</v>
      </c>
      <c r="E51" s="25" t="str">
        <f>IF('Cleaned data'!J11&gt;=15,"Bulk Order",
 IF('Cleaned data'!J11&gt;=5,"Normal Order",
 "Small Order"))</f>
        <v>Bulk Order</v>
      </c>
    </row>
    <row r="52" spans="1:5" x14ac:dyDescent="0.35">
      <c r="A52" s="25" t="s">
        <v>63</v>
      </c>
      <c r="B52" s="26" t="str">
        <f>IF(AND('Cleaned data'!S12&gt;2000,'Cleaned data'!U12&gt;0),"High Value","Normal")</f>
        <v>Normal</v>
      </c>
      <c r="C52" s="25" t="str">
        <f>IF(OR('Cleaned data'!O12&gt;0.3,'Cleaned data'!J12&lt;2),"Risky","Safe")</f>
        <v>Safe</v>
      </c>
      <c r="D52" s="25" t="str">
        <f>IF('Cleaned data'!R12="Delivered","Completed","Not Completed")</f>
        <v>Not Completed</v>
      </c>
      <c r="E52" s="25" t="str">
        <f>IF('Cleaned data'!J12&gt;=15,"Bulk Order",
 IF('Cleaned data'!J12&gt;=5,"Normal Order",
 "Small Order"))</f>
        <v>Normal Order</v>
      </c>
    </row>
    <row r="53" spans="1:5" x14ac:dyDescent="0.35">
      <c r="A53" s="25" t="s">
        <v>66</v>
      </c>
      <c r="B53" s="26" t="str">
        <f>IF(AND('Cleaned data'!S13&gt;2000,'Cleaned data'!U13&gt;0),"High Value","Normal")</f>
        <v>Normal</v>
      </c>
      <c r="C53" s="25" t="str">
        <f>IF(OR('Cleaned data'!O13&gt;0.3,'Cleaned data'!J13&lt;2),"Risky","Safe")</f>
        <v>Safe</v>
      </c>
      <c r="D53" s="25" t="str">
        <f>IF('Cleaned data'!R13="Delivered","Completed","Not Completed")</f>
        <v>Completed</v>
      </c>
      <c r="E53" s="25" t="str">
        <f>IF('Cleaned data'!J13&gt;=15,"Bulk Order",
 IF('Cleaned data'!J13&gt;=5,"Normal Order",
 "Small Order"))</f>
        <v>Bulk Order</v>
      </c>
    </row>
    <row r="54" spans="1:5" x14ac:dyDescent="0.35">
      <c r="A54" s="25" t="s">
        <v>68</v>
      </c>
      <c r="B54" s="26" t="str">
        <f>IF(AND('Cleaned data'!S14&gt;2000,'Cleaned data'!U14&gt;0),"High Value","Normal")</f>
        <v>High Value</v>
      </c>
      <c r="C54" s="25" t="str">
        <f>IF(OR('Cleaned data'!O14&gt;0.3,'Cleaned data'!J14&lt;2),"Risky","Safe")</f>
        <v>Safe</v>
      </c>
      <c r="D54" s="25" t="str">
        <f>IF('Cleaned data'!R14="Delivered","Completed","Not Completed")</f>
        <v>Not Completed</v>
      </c>
      <c r="E54" s="25" t="str">
        <f>IF('Cleaned data'!J14&gt;=15,"Bulk Order",
 IF('Cleaned data'!J14&gt;=5,"Normal Order",
 "Small Order"))</f>
        <v>Bulk Order</v>
      </c>
    </row>
    <row r="55" spans="1:5" x14ac:dyDescent="0.35">
      <c r="A55" s="25" t="s">
        <v>69</v>
      </c>
      <c r="B55" s="26" t="str">
        <f>IF(AND('Cleaned data'!S15&gt;2000,'Cleaned data'!U15&gt;0),"High Value","Normal")</f>
        <v>Normal</v>
      </c>
      <c r="C55" s="25" t="str">
        <f>IF(OR('Cleaned data'!O15&gt;0.3,'Cleaned data'!J15&lt;2),"Risky","Safe")</f>
        <v>Safe</v>
      </c>
      <c r="D55" s="25" t="str">
        <f>IF('Cleaned data'!R15="Delivered","Completed","Not Completed")</f>
        <v>Completed</v>
      </c>
      <c r="E55" s="25" t="str">
        <f>IF('Cleaned data'!J15&gt;=15,"Bulk Order",
 IF('Cleaned data'!J15&gt;=5,"Normal Order",
 "Small Order"))</f>
        <v>Bulk Order</v>
      </c>
    </row>
    <row r="56" spans="1:5" x14ac:dyDescent="0.35">
      <c r="A56" s="25" t="s">
        <v>71</v>
      </c>
      <c r="B56" s="26" t="str">
        <f>IF(AND('Cleaned data'!S16&gt;2000,'Cleaned data'!U16&gt;0),"High Value","Normal")</f>
        <v>Normal</v>
      </c>
      <c r="C56" s="25" t="str">
        <f>IF(OR('Cleaned data'!O16&gt;0.3,'Cleaned data'!J16&lt;2),"Risky","Safe")</f>
        <v>Safe</v>
      </c>
      <c r="D56" s="25" t="str">
        <f>IF('Cleaned data'!R16="Delivered","Completed","Not Completed")</f>
        <v>Not Completed</v>
      </c>
      <c r="E56" s="25" t="str">
        <f>IF('Cleaned data'!J16&gt;=15,"Bulk Order",
 IF('Cleaned data'!J16&gt;=5,"Normal Order",
 "Small Order"))</f>
        <v>Bulk Order</v>
      </c>
    </row>
    <row r="57" spans="1:5" x14ac:dyDescent="0.35">
      <c r="A57" s="25" t="s">
        <v>73</v>
      </c>
      <c r="B57" s="26" t="str">
        <f>IF(AND('Cleaned data'!S17&gt;2000,'Cleaned data'!U17&gt;0),"High Value","Normal")</f>
        <v>High Value</v>
      </c>
      <c r="C57" s="25" t="str">
        <f>IF(OR('Cleaned data'!O17&gt;0.3,'Cleaned data'!J17&lt;2),"Risky","Safe")</f>
        <v>Safe</v>
      </c>
      <c r="D57" s="25" t="str">
        <f>IF('Cleaned data'!R17="Delivered","Completed","Not Completed")</f>
        <v>Not Completed</v>
      </c>
      <c r="E57" s="25" t="str">
        <f>IF('Cleaned data'!J17&gt;=15,"Bulk Order",
 IF('Cleaned data'!J17&gt;=5,"Normal Order",
 "Small Order"))</f>
        <v>Bulk Order</v>
      </c>
    </row>
    <row r="58" spans="1:5" x14ac:dyDescent="0.35">
      <c r="A58" s="25" t="s">
        <v>75</v>
      </c>
      <c r="B58" s="26" t="str">
        <f>IF(AND('Cleaned data'!S18&gt;2000,'Cleaned data'!U18&gt;0),"High Value","Normal")</f>
        <v>High Value</v>
      </c>
      <c r="C58" s="25" t="str">
        <f>IF(OR('Cleaned data'!O18&gt;0.3,'Cleaned data'!J18&lt;2),"Risky","Safe")</f>
        <v>Safe</v>
      </c>
      <c r="D58" s="25" t="str">
        <f>IF('Cleaned data'!R18="Delivered","Completed","Not Completed")</f>
        <v>Not Completed</v>
      </c>
      <c r="E58" s="25" t="str">
        <f>IF('Cleaned data'!J18&gt;=15,"Bulk Order",
 IF('Cleaned data'!J18&gt;=5,"Normal Order",
 "Small Order"))</f>
        <v>Bulk Order</v>
      </c>
    </row>
    <row r="59" spans="1:5" x14ac:dyDescent="0.35">
      <c r="A59" s="25" t="s">
        <v>77</v>
      </c>
      <c r="B59" s="26" t="str">
        <f>IF(AND('Cleaned data'!S19&gt;2000,'Cleaned data'!U19&gt;0),"High Value","Normal")</f>
        <v>Normal</v>
      </c>
      <c r="C59" s="25" t="str">
        <f>IF(OR('Cleaned data'!O19&gt;0.3,'Cleaned data'!J19&lt;2),"Risky","Safe")</f>
        <v>Safe</v>
      </c>
      <c r="D59" s="25" t="str">
        <f>IF('Cleaned data'!R19="Delivered","Completed","Not Completed")</f>
        <v>Not Completed</v>
      </c>
      <c r="E59" s="25" t="str">
        <f>IF('Cleaned data'!J19&gt;=15,"Bulk Order",
 IF('Cleaned data'!J19&gt;=5,"Normal Order",
 "Small Order"))</f>
        <v>Bulk Order</v>
      </c>
    </row>
    <row r="60" spans="1:5" x14ac:dyDescent="0.35">
      <c r="A60" s="25" t="s">
        <v>79</v>
      </c>
      <c r="B60" s="26" t="str">
        <f>IF(AND('Cleaned data'!S20&gt;2000,'Cleaned data'!U20&gt;0),"High Value","Normal")</f>
        <v>Normal</v>
      </c>
      <c r="C60" s="25" t="str">
        <f>IF(OR('Cleaned data'!O20&gt;0.3,'Cleaned data'!J20&lt;2),"Risky","Safe")</f>
        <v>Safe</v>
      </c>
      <c r="D60" s="25" t="str">
        <f>IF('Cleaned data'!R20="Delivered","Completed","Not Completed")</f>
        <v>Not Completed</v>
      </c>
      <c r="E60" s="25" t="str">
        <f>IF('Cleaned data'!J20&gt;=15,"Bulk Order",
 IF('Cleaned data'!J20&gt;=5,"Normal Order",
 "Small Order"))</f>
        <v>Bulk Order</v>
      </c>
    </row>
    <row r="61" spans="1:5" x14ac:dyDescent="0.35">
      <c r="A61" s="25" t="s">
        <v>82</v>
      </c>
      <c r="B61" s="26" t="str">
        <f>IF(AND('Cleaned data'!S21&gt;2000,'Cleaned data'!U21&gt;0),"High Value","Normal")</f>
        <v>High Value</v>
      </c>
      <c r="C61" s="25" t="str">
        <f>IF(OR('Cleaned data'!O21&gt;0.3,'Cleaned data'!J21&lt;2),"Risky","Safe")</f>
        <v>Safe</v>
      </c>
      <c r="D61" s="25" t="str">
        <f>IF('Cleaned data'!R21="Delivered","Completed","Not Completed")</f>
        <v>Not Completed</v>
      </c>
      <c r="E61" s="25" t="str">
        <f>IF('Cleaned data'!J21&gt;=15,"Bulk Order",
 IF('Cleaned data'!J21&gt;=5,"Normal Order",
 "Small Order"))</f>
        <v>Bulk Order</v>
      </c>
    </row>
    <row r="62" spans="1:5" x14ac:dyDescent="0.35">
      <c r="A62" s="25" t="s">
        <v>84</v>
      </c>
      <c r="B62" s="26" t="str">
        <f>IF(AND('Cleaned data'!S22&gt;2000,'Cleaned data'!U22&gt;0),"High Value","Normal")</f>
        <v>Normal</v>
      </c>
      <c r="C62" s="25" t="str">
        <f>IF(OR('Cleaned data'!O22&gt;0.3,'Cleaned data'!J22&lt;2),"Risky","Safe")</f>
        <v>Safe</v>
      </c>
      <c r="D62" s="25" t="str">
        <f>IF('Cleaned data'!R22="Delivered","Completed","Not Completed")</f>
        <v>Not Completed</v>
      </c>
      <c r="E62" s="25" t="str">
        <f>IF('Cleaned data'!J22&gt;=15,"Bulk Order",
 IF('Cleaned data'!J22&gt;=5,"Normal Order",
 "Small Order"))</f>
        <v>Normal Order</v>
      </c>
    </row>
    <row r="63" spans="1:5" x14ac:dyDescent="0.35">
      <c r="A63" s="25" t="s">
        <v>85</v>
      </c>
      <c r="B63" s="26" t="str">
        <f>IF(AND('Cleaned data'!S23&gt;2000,'Cleaned data'!U23&gt;0),"High Value","Normal")</f>
        <v>Normal</v>
      </c>
      <c r="C63" s="25" t="str">
        <f>IF(OR('Cleaned data'!O23&gt;0.3,'Cleaned data'!J23&lt;2),"Risky","Safe")</f>
        <v>Safe</v>
      </c>
      <c r="D63" s="25" t="str">
        <f>IF('Cleaned data'!R23="Delivered","Completed","Not Completed")</f>
        <v>Not Completed</v>
      </c>
      <c r="E63" s="25" t="str">
        <f>IF('Cleaned data'!J23&gt;=15,"Bulk Order",
 IF('Cleaned data'!J23&gt;=5,"Normal Order",
 "Small Order"))</f>
        <v>Normal Order</v>
      </c>
    </row>
    <row r="64" spans="1:5" x14ac:dyDescent="0.35">
      <c r="A64" s="25" t="s">
        <v>87</v>
      </c>
      <c r="B64" s="26" t="str">
        <f>IF(AND('Cleaned data'!S24&gt;2000,'Cleaned data'!U24&gt;0),"High Value","Normal")</f>
        <v>High Value</v>
      </c>
      <c r="C64" s="25" t="str">
        <f>IF(OR('Cleaned data'!O24&gt;0.3,'Cleaned data'!J24&lt;2),"Risky","Safe")</f>
        <v>Safe</v>
      </c>
      <c r="D64" s="25" t="str">
        <f>IF('Cleaned data'!R24="Delivered","Completed","Not Completed")</f>
        <v>Not Completed</v>
      </c>
      <c r="E64" s="25" t="str">
        <f>IF('Cleaned data'!J24&gt;=15,"Bulk Order",
 IF('Cleaned data'!J24&gt;=5,"Normal Order",
 "Small Order"))</f>
        <v>Bulk Order</v>
      </c>
    </row>
    <row r="65" spans="1:5" x14ac:dyDescent="0.35">
      <c r="A65" s="25" t="s">
        <v>88</v>
      </c>
      <c r="B65" s="26" t="str">
        <f>IF(AND('Cleaned data'!S25&gt;2000,'Cleaned data'!U25&gt;0),"High Value","Normal")</f>
        <v>Normal</v>
      </c>
      <c r="C65" s="25" t="str">
        <f>IF(OR('Cleaned data'!O25&gt;0.3,'Cleaned data'!J25&lt;2),"Risky","Safe")</f>
        <v>Safe</v>
      </c>
      <c r="D65" s="25" t="str">
        <f>IF('Cleaned data'!R25="Delivered","Completed","Not Completed")</f>
        <v>Completed</v>
      </c>
      <c r="E65" s="25" t="str">
        <f>IF('Cleaned data'!J25&gt;=15,"Bulk Order",
 IF('Cleaned data'!J25&gt;=5,"Normal Order",
 "Small Order"))</f>
        <v>Bulk Order</v>
      </c>
    </row>
    <row r="66" spans="1:5" x14ac:dyDescent="0.35">
      <c r="A66" s="25" t="s">
        <v>90</v>
      </c>
      <c r="B66" s="26" t="str">
        <f>IF(AND('Cleaned data'!S26&gt;2000,'Cleaned data'!U26&gt;0),"High Value","Normal")</f>
        <v>High Value</v>
      </c>
      <c r="C66" s="25" t="str">
        <f>IF(OR('Cleaned data'!O26&gt;0.3,'Cleaned data'!J26&lt;2),"Risky","Safe")</f>
        <v>Safe</v>
      </c>
      <c r="D66" s="25" t="str">
        <f>IF('Cleaned data'!R26="Delivered","Completed","Not Completed")</f>
        <v>Not Completed</v>
      </c>
      <c r="E66" s="25" t="str">
        <f>IF('Cleaned data'!J26&gt;=15,"Bulk Order",
 IF('Cleaned data'!J26&gt;=5,"Normal Order",
 "Small Order"))</f>
        <v>Bulk Order</v>
      </c>
    </row>
    <row r="67" spans="1:5" x14ac:dyDescent="0.35">
      <c r="A67" s="25" t="s">
        <v>92</v>
      </c>
      <c r="B67" s="26" t="str">
        <f>IF(AND('Cleaned data'!S27&gt;2000,'Cleaned data'!U27&gt;0),"High Value","Normal")</f>
        <v>High Value</v>
      </c>
      <c r="C67" s="25" t="str">
        <f>IF(OR('Cleaned data'!O27&gt;0.3,'Cleaned data'!J27&lt;2),"Risky","Safe")</f>
        <v>Safe</v>
      </c>
      <c r="D67" s="25" t="str">
        <f>IF('Cleaned data'!R27="Delivered","Completed","Not Completed")</f>
        <v>Not Completed</v>
      </c>
      <c r="E67" s="25" t="str">
        <f>IF('Cleaned data'!J27&gt;=15,"Bulk Order",
 IF('Cleaned data'!J27&gt;=5,"Normal Order",
 "Small Order"))</f>
        <v>Bulk Order</v>
      </c>
    </row>
    <row r="68" spans="1:5" x14ac:dyDescent="0.35">
      <c r="A68" s="25" t="s">
        <v>94</v>
      </c>
      <c r="B68" s="26" t="str">
        <f>IF(AND('Cleaned data'!S28&gt;2000,'Cleaned data'!U28&gt;0),"High Value","Normal")</f>
        <v>Normal</v>
      </c>
      <c r="C68" s="25" t="str">
        <f>IF(OR('Cleaned data'!O28&gt;0.3,'Cleaned data'!J28&lt;2),"Risky","Safe")</f>
        <v>Safe</v>
      </c>
      <c r="D68" s="25" t="str">
        <f>IF('Cleaned data'!R28="Delivered","Completed","Not Completed")</f>
        <v>Not Completed</v>
      </c>
      <c r="E68" s="25" t="str">
        <f>IF('Cleaned data'!J28&gt;=15,"Bulk Order",
 IF('Cleaned data'!J28&gt;=5,"Normal Order",
 "Small Order"))</f>
        <v>Bulk Order</v>
      </c>
    </row>
    <row r="69" spans="1:5" x14ac:dyDescent="0.35">
      <c r="A69" s="25" t="s">
        <v>96</v>
      </c>
      <c r="B69" s="26" t="str">
        <f>IF(AND('Cleaned data'!S29&gt;2000,'Cleaned data'!U29&gt;0),"High Value","Normal")</f>
        <v>High Value</v>
      </c>
      <c r="C69" s="25" t="str">
        <f>IF(OR('Cleaned data'!O29&gt;0.3,'Cleaned data'!J29&lt;2),"Risky","Safe")</f>
        <v>Safe</v>
      </c>
      <c r="D69" s="25" t="str">
        <f>IF('Cleaned data'!R29="Delivered","Completed","Not Completed")</f>
        <v>Not Completed</v>
      </c>
      <c r="E69" s="25" t="str">
        <f>IF('Cleaned data'!J29&gt;=15,"Bulk Order",
 IF('Cleaned data'!J29&gt;=5,"Normal Order",
 "Small Order"))</f>
        <v>Normal Order</v>
      </c>
    </row>
    <row r="70" spans="1:5" x14ac:dyDescent="0.35">
      <c r="A70" s="25" t="s">
        <v>98</v>
      </c>
      <c r="B70" s="26" t="str">
        <f>IF(AND('Cleaned data'!S30&gt;2000,'Cleaned data'!U30&gt;0),"High Value","Normal")</f>
        <v>High Value</v>
      </c>
      <c r="C70" s="25" t="str">
        <f>IF(OR('Cleaned data'!O30&gt;0.3,'Cleaned data'!J30&lt;2),"Risky","Safe")</f>
        <v>Safe</v>
      </c>
      <c r="D70" s="25" t="str">
        <f>IF('Cleaned data'!R30="Delivered","Completed","Not Completed")</f>
        <v>Not Completed</v>
      </c>
      <c r="E70" s="25" t="str">
        <f>IF('Cleaned data'!J30&gt;=15,"Bulk Order",
 IF('Cleaned data'!J30&gt;=5,"Normal Order",
 "Small Order"))</f>
        <v>Bulk Order</v>
      </c>
    </row>
    <row r="71" spans="1:5" x14ac:dyDescent="0.35">
      <c r="A71" s="25" t="s">
        <v>101</v>
      </c>
      <c r="B71" s="26" t="str">
        <f>IF(AND('Cleaned data'!S31&gt;2000,'Cleaned data'!U31&gt;0),"High Value","Normal")</f>
        <v>Normal</v>
      </c>
      <c r="C71" s="25" t="str">
        <f>IF(OR('Cleaned data'!O31&gt;0.3,'Cleaned data'!J31&lt;2),"Risky","Safe")</f>
        <v>Risky</v>
      </c>
      <c r="D71" s="25" t="str">
        <f>IF('Cleaned data'!R31="Delivered","Completed","Not Completed")</f>
        <v>Completed</v>
      </c>
      <c r="E71" s="25" t="str">
        <f>IF('Cleaned data'!J31&gt;=15,"Bulk Order",
 IF('Cleaned data'!J31&gt;=5,"Normal Order",
 "Small Order"))</f>
        <v>Small Order</v>
      </c>
    </row>
    <row r="72" spans="1:5" x14ac:dyDescent="0.35">
      <c r="A72" s="25" t="s">
        <v>103</v>
      </c>
      <c r="B72" s="26" t="str">
        <f>IF(AND('Cleaned data'!S32&gt;2000,'Cleaned data'!U32&gt;0),"High Value","Normal")</f>
        <v>High Value</v>
      </c>
      <c r="C72" s="25" t="str">
        <f>IF(OR('Cleaned data'!O32&gt;0.3,'Cleaned data'!J32&lt;2),"Risky","Safe")</f>
        <v>Safe</v>
      </c>
      <c r="D72" s="25" t="str">
        <f>IF('Cleaned data'!R32="Delivered","Completed","Not Completed")</f>
        <v>Completed</v>
      </c>
      <c r="E72" s="25" t="str">
        <f>IF('Cleaned data'!J32&gt;=15,"Bulk Order",
 IF('Cleaned data'!J32&gt;=5,"Normal Order",
 "Small Order"))</f>
        <v>Bulk Order</v>
      </c>
    </row>
    <row r="73" spans="1:5" x14ac:dyDescent="0.35">
      <c r="A73" s="25" t="s">
        <v>105</v>
      </c>
      <c r="B73" s="26" t="str">
        <f>IF(AND('Cleaned data'!S33&gt;2000,'Cleaned data'!U33&gt;0),"High Value","Normal")</f>
        <v>High Value</v>
      </c>
      <c r="C73" s="25" t="str">
        <f>IF(OR('Cleaned data'!O33&gt;0.3,'Cleaned data'!J33&lt;2),"Risky","Safe")</f>
        <v>Safe</v>
      </c>
      <c r="D73" s="25" t="str">
        <f>IF('Cleaned data'!R33="Delivered","Completed","Not Completed")</f>
        <v>Not Completed</v>
      </c>
      <c r="E73" s="25" t="str">
        <f>IF('Cleaned data'!J33&gt;=15,"Bulk Order",
 IF('Cleaned data'!J33&gt;=5,"Normal Order",
 "Small Order"))</f>
        <v>Bulk Order</v>
      </c>
    </row>
    <row r="74" spans="1:5" x14ac:dyDescent="0.35">
      <c r="A74" s="25" t="s">
        <v>107</v>
      </c>
      <c r="B74" s="26" t="str">
        <f>IF(AND('Cleaned data'!S34&gt;2000,'Cleaned data'!U34&gt;0),"High Value","Normal")</f>
        <v>High Value</v>
      </c>
      <c r="C74" s="25" t="str">
        <f>IF(OR('Cleaned data'!O34&gt;0.3,'Cleaned data'!J34&lt;2),"Risky","Safe")</f>
        <v>Safe</v>
      </c>
      <c r="D74" s="25" t="str">
        <f>IF('Cleaned data'!R34="Delivered","Completed","Not Completed")</f>
        <v>Completed</v>
      </c>
      <c r="E74" s="25" t="str">
        <f>IF('Cleaned data'!J34&gt;=15,"Bulk Order",
 IF('Cleaned data'!J34&gt;=5,"Normal Order",
 "Small Order"))</f>
        <v>Normal Order</v>
      </c>
    </row>
    <row r="75" spans="1:5" x14ac:dyDescent="0.35">
      <c r="A75" s="25" t="s">
        <v>109</v>
      </c>
      <c r="B75" s="26" t="str">
        <f>IF(AND('Cleaned data'!S35&gt;2000,'Cleaned data'!U35&gt;0),"High Value","Normal")</f>
        <v>Normal</v>
      </c>
      <c r="C75" s="25" t="str">
        <f>IF(OR('Cleaned data'!O35&gt;0.3,'Cleaned data'!J35&lt;2),"Risky","Safe")</f>
        <v>Safe</v>
      </c>
      <c r="D75" s="25" t="str">
        <f>IF('Cleaned data'!R35="Delivered","Completed","Not Completed")</f>
        <v>Completed</v>
      </c>
      <c r="E75" s="25" t="str">
        <f>IF('Cleaned data'!J35&gt;=15,"Bulk Order",
 IF('Cleaned data'!J35&gt;=5,"Normal Order",
 "Small Order"))</f>
        <v>Bulk Order</v>
      </c>
    </row>
    <row r="76" spans="1:5" x14ac:dyDescent="0.35">
      <c r="A76" s="25" t="s">
        <v>111</v>
      </c>
      <c r="B76" s="26" t="str">
        <f>IF(AND('Cleaned data'!S36&gt;2000,'Cleaned data'!U36&gt;0),"High Value","Normal")</f>
        <v>Normal</v>
      </c>
      <c r="C76" s="25" t="str">
        <f>IF(OR('Cleaned data'!O36&gt;0.3,'Cleaned data'!J36&lt;2),"Risky","Safe")</f>
        <v>Safe</v>
      </c>
      <c r="D76" s="25" t="str">
        <f>IF('Cleaned data'!R36="Delivered","Completed","Not Completed")</f>
        <v>Not Completed</v>
      </c>
      <c r="E76" s="25" t="str">
        <f>IF('Cleaned data'!J36&gt;=15,"Bulk Order",
 IF('Cleaned data'!J36&gt;=5,"Normal Order",
 "Small Order"))</f>
        <v>Bulk Order</v>
      </c>
    </row>
    <row r="77" spans="1:5" x14ac:dyDescent="0.35">
      <c r="A77" s="25" t="s">
        <v>113</v>
      </c>
      <c r="B77" s="26" t="str">
        <f>IF(AND('Cleaned data'!S37&gt;2000,'Cleaned data'!U37&gt;0),"High Value","Normal")</f>
        <v>Normal</v>
      </c>
      <c r="C77" s="25" t="str">
        <f>IF(OR('Cleaned data'!O37&gt;0.3,'Cleaned data'!J37&lt;2),"Risky","Safe")</f>
        <v>Safe</v>
      </c>
      <c r="D77" s="25" t="str">
        <f>IF('Cleaned data'!R37="Delivered","Completed","Not Completed")</f>
        <v>Completed</v>
      </c>
      <c r="E77" s="25" t="str">
        <f>IF('Cleaned data'!J37&gt;=15,"Bulk Order",
 IF('Cleaned data'!J37&gt;=5,"Normal Order",
 "Small Order"))</f>
        <v>Normal Order</v>
      </c>
    </row>
    <row r="78" spans="1:5" x14ac:dyDescent="0.35">
      <c r="A78" s="25" t="s">
        <v>114</v>
      </c>
      <c r="B78" s="26" t="str">
        <f>IF(AND('Cleaned data'!S38&gt;2000,'Cleaned data'!U38&gt;0),"High Value","Normal")</f>
        <v>High Value</v>
      </c>
      <c r="C78" s="25" t="str">
        <f>IF(OR('Cleaned data'!O38&gt;0.3,'Cleaned data'!J38&lt;2),"Risky","Safe")</f>
        <v>Safe</v>
      </c>
      <c r="D78" s="25" t="str">
        <f>IF('Cleaned data'!R38="Delivered","Completed","Not Completed")</f>
        <v>Not Completed</v>
      </c>
      <c r="E78" s="25" t="str">
        <f>IF('Cleaned data'!J38&gt;=15,"Bulk Order",
 IF('Cleaned data'!J38&gt;=5,"Normal Order",
 "Small Order"))</f>
        <v>Bulk Order</v>
      </c>
    </row>
    <row r="79" spans="1:5" x14ac:dyDescent="0.35">
      <c r="A79" s="25" t="s">
        <v>116</v>
      </c>
      <c r="B79" s="26" t="str">
        <f>IF(AND('Cleaned data'!S39&gt;2000,'Cleaned data'!U39&gt;0),"High Value","Normal")</f>
        <v>Normal</v>
      </c>
      <c r="C79" s="25" t="str">
        <f>IF(OR('Cleaned data'!O39&gt;0.3,'Cleaned data'!J39&lt;2),"Risky","Safe")</f>
        <v>Safe</v>
      </c>
      <c r="D79" s="25" t="str">
        <f>IF('Cleaned data'!R39="Delivered","Completed","Not Completed")</f>
        <v>Not Completed</v>
      </c>
      <c r="E79" s="25" t="str">
        <f>IF('Cleaned data'!J39&gt;=15,"Bulk Order",
 IF('Cleaned data'!J39&gt;=5,"Normal Order",
 "Small Order"))</f>
        <v>Bulk Order</v>
      </c>
    </row>
    <row r="80" spans="1:5" x14ac:dyDescent="0.35">
      <c r="A80" s="25" t="s">
        <v>118</v>
      </c>
      <c r="B80" s="26" t="str">
        <f>IF(AND('Cleaned data'!S40&gt;2000,'Cleaned data'!U40&gt;0),"High Value","Normal")</f>
        <v>High Value</v>
      </c>
      <c r="C80" s="25" t="str">
        <f>IF(OR('Cleaned data'!O40&gt;0.3,'Cleaned data'!J40&lt;2),"Risky","Safe")</f>
        <v>Safe</v>
      </c>
      <c r="D80" s="25" t="str">
        <f>IF('Cleaned data'!R40="Delivered","Completed","Not Completed")</f>
        <v>Not Completed</v>
      </c>
      <c r="E80" s="25" t="str">
        <f>IF('Cleaned data'!J40&gt;=15,"Bulk Order",
 IF('Cleaned data'!J40&gt;=5,"Normal Order",
 "Small Order"))</f>
        <v>Normal Order</v>
      </c>
    </row>
    <row r="81" spans="1:5" x14ac:dyDescent="0.35">
      <c r="A81" s="25" t="s">
        <v>120</v>
      </c>
      <c r="B81" s="26" t="str">
        <f>IF(AND('Cleaned data'!S41&gt;2000,'Cleaned data'!U41&gt;0),"High Value","Normal")</f>
        <v>Normal</v>
      </c>
      <c r="C81" s="25" t="str">
        <f>IF(OR('Cleaned data'!O41&gt;0.3,'Cleaned data'!J41&lt;2),"Risky","Safe")</f>
        <v>Safe</v>
      </c>
      <c r="D81" s="25" t="str">
        <f>IF('Cleaned data'!R41="Delivered","Completed","Not Completed")</f>
        <v>Not Completed</v>
      </c>
      <c r="E81" s="25" t="str">
        <f>IF('Cleaned data'!J41&gt;=15,"Bulk Order",
 IF('Cleaned data'!J41&gt;=5,"Normal Order",
 "Small Order"))</f>
        <v>Bulk Order</v>
      </c>
    </row>
    <row r="82" spans="1:5" x14ac:dyDescent="0.35">
      <c r="A82" s="25" t="s">
        <v>122</v>
      </c>
      <c r="B82" s="26" t="str">
        <f>IF(AND('Cleaned data'!S42&gt;2000,'Cleaned data'!U42&gt;0),"High Value","Normal")</f>
        <v>Normal</v>
      </c>
      <c r="C82" s="25" t="str">
        <f>IF(OR('Cleaned data'!O42&gt;0.3,'Cleaned data'!J42&lt;2),"Risky","Safe")</f>
        <v>Safe</v>
      </c>
      <c r="D82" s="25" t="str">
        <f>IF('Cleaned data'!R42="Delivered","Completed","Not Completed")</f>
        <v>Completed</v>
      </c>
      <c r="E82" s="25" t="str">
        <f>IF('Cleaned data'!J42&gt;=15,"Bulk Order",
 IF('Cleaned data'!J42&gt;=5,"Normal Order",
 "Small Order"))</f>
        <v>Bulk Order</v>
      </c>
    </row>
    <row r="83" spans="1:5" x14ac:dyDescent="0.35">
      <c r="A83" s="25" t="s">
        <v>124</v>
      </c>
      <c r="B83" s="26" t="str">
        <f>IF(AND('Cleaned data'!S43&gt;2000,'Cleaned data'!U43&gt;0),"High Value","Normal")</f>
        <v>High Value</v>
      </c>
      <c r="C83" s="25" t="str">
        <f>IF(OR('Cleaned data'!O43&gt;0.3,'Cleaned data'!J43&lt;2),"Risky","Safe")</f>
        <v>Safe</v>
      </c>
      <c r="D83" s="25" t="str">
        <f>IF('Cleaned data'!R43="Delivered","Completed","Not Completed")</f>
        <v>Not Completed</v>
      </c>
      <c r="E83" s="25" t="str">
        <f>IF('Cleaned data'!J43&gt;=15,"Bulk Order",
 IF('Cleaned data'!J43&gt;=5,"Normal Order",
 "Small Order"))</f>
        <v>Normal Order</v>
      </c>
    </row>
    <row r="84" spans="1:5" x14ac:dyDescent="0.35">
      <c r="A84" s="25" t="s">
        <v>126</v>
      </c>
      <c r="B84" s="26" t="str">
        <f>IF(AND('Cleaned data'!S44&gt;2000,'Cleaned data'!U44&gt;0),"High Value","Normal")</f>
        <v>Normal</v>
      </c>
      <c r="C84" s="25" t="str">
        <f>IF(OR('Cleaned data'!O44&gt;0.3,'Cleaned data'!J44&lt;2),"Risky","Safe")</f>
        <v>Safe</v>
      </c>
      <c r="D84" s="25" t="str">
        <f>IF('Cleaned data'!R44="Delivered","Completed","Not Completed")</f>
        <v>Not Completed</v>
      </c>
      <c r="E84" s="25" t="str">
        <f>IF('Cleaned data'!J44&gt;=15,"Bulk Order",
 IF('Cleaned data'!J44&gt;=5,"Normal Order",
 "Small Order"))</f>
        <v>Normal Order</v>
      </c>
    </row>
    <row r="85" spans="1:5" x14ac:dyDescent="0.35">
      <c r="A85" s="25" t="s">
        <v>128</v>
      </c>
      <c r="B85" s="26" t="str">
        <f>IF(AND('Cleaned data'!S45&gt;2000,'Cleaned data'!U45&gt;0),"High Value","Normal")</f>
        <v>Normal</v>
      </c>
      <c r="C85" s="25" t="str">
        <f>IF(OR('Cleaned data'!O45&gt;0.3,'Cleaned data'!J45&lt;2),"Risky","Safe")</f>
        <v>Safe</v>
      </c>
      <c r="D85" s="25" t="str">
        <f>IF('Cleaned data'!R45="Delivered","Completed","Not Completed")</f>
        <v>Not Completed</v>
      </c>
      <c r="E85" s="25" t="str">
        <f>IF('Cleaned data'!J45&gt;=15,"Bulk Order",
 IF('Cleaned data'!J45&gt;=5,"Normal Order",
 "Small Order"))</f>
        <v>Normal Order</v>
      </c>
    </row>
    <row r="86" spans="1:5" x14ac:dyDescent="0.35">
      <c r="A86" s="25" t="s">
        <v>130</v>
      </c>
      <c r="B86" s="26" t="str">
        <f>IF(AND('Cleaned data'!S46&gt;2000,'Cleaned data'!U46&gt;0),"High Value","Normal")</f>
        <v>High Value</v>
      </c>
      <c r="C86" s="25" t="str">
        <f>IF(OR('Cleaned data'!O46&gt;0.3,'Cleaned data'!J46&lt;2),"Risky","Safe")</f>
        <v>Safe</v>
      </c>
      <c r="D86" s="25" t="str">
        <f>IF('Cleaned data'!R46="Delivered","Completed","Not Completed")</f>
        <v>Not Completed</v>
      </c>
      <c r="E86" s="25" t="str">
        <f>IF('Cleaned data'!J46&gt;=15,"Bulk Order",
 IF('Cleaned data'!J46&gt;=5,"Normal Order",
 "Small Order"))</f>
        <v>Bulk Order</v>
      </c>
    </row>
    <row r="87" spans="1:5" x14ac:dyDescent="0.35">
      <c r="A87" s="25" t="s">
        <v>132</v>
      </c>
      <c r="B87" s="26" t="str">
        <f>IF(AND('Cleaned data'!S47&gt;2000,'Cleaned data'!U47&gt;0),"High Value","Normal")</f>
        <v>Normal</v>
      </c>
      <c r="C87" s="25" t="str">
        <f>IF(OR('Cleaned data'!O47&gt;0.3,'Cleaned data'!J47&lt;2),"Risky","Safe")</f>
        <v>Safe</v>
      </c>
      <c r="D87" s="25" t="str">
        <f>IF('Cleaned data'!R47="Delivered","Completed","Not Completed")</f>
        <v>Completed</v>
      </c>
      <c r="E87" s="25" t="str">
        <f>IF('Cleaned data'!J47&gt;=15,"Bulk Order",
 IF('Cleaned data'!J47&gt;=5,"Normal Order",
 "Small Order"))</f>
        <v>Normal Order</v>
      </c>
    </row>
    <row r="88" spans="1:5" x14ac:dyDescent="0.35">
      <c r="A88" s="25" t="s">
        <v>133</v>
      </c>
      <c r="B88" s="26" t="str">
        <f>IF(AND('Cleaned data'!S48&gt;2000,'Cleaned data'!U48&gt;0),"High Value","Normal")</f>
        <v>Normal</v>
      </c>
      <c r="C88" s="25" t="str">
        <f>IF(OR('Cleaned data'!O48&gt;0.3,'Cleaned data'!J48&lt;2),"Risky","Safe")</f>
        <v>Risky</v>
      </c>
      <c r="D88" s="25" t="str">
        <f>IF('Cleaned data'!R48="Delivered","Completed","Not Completed")</f>
        <v>Not Completed</v>
      </c>
      <c r="E88" s="25" t="str">
        <f>IF('Cleaned data'!J48&gt;=15,"Bulk Order",
 IF('Cleaned data'!J48&gt;=5,"Normal Order",
 "Small Order"))</f>
        <v>Small Order</v>
      </c>
    </row>
    <row r="89" spans="1:5" x14ac:dyDescent="0.35">
      <c r="A89" s="25" t="s">
        <v>134</v>
      </c>
      <c r="B89" s="26" t="str">
        <f>IF(AND('Cleaned data'!S49&gt;2000,'Cleaned data'!U49&gt;0),"High Value","Normal")</f>
        <v>High Value</v>
      </c>
      <c r="C89" s="25" t="str">
        <f>IF(OR('Cleaned data'!O49&gt;0.3,'Cleaned data'!J49&lt;2),"Risky","Safe")</f>
        <v>Safe</v>
      </c>
      <c r="D89" s="25" t="str">
        <f>IF('Cleaned data'!R49="Delivered","Completed","Not Completed")</f>
        <v>Completed</v>
      </c>
      <c r="E89" s="25" t="str">
        <f>IF('Cleaned data'!J49&gt;=15,"Bulk Order",
 IF('Cleaned data'!J49&gt;=5,"Normal Order",
 "Small Order"))</f>
        <v>Bulk Order</v>
      </c>
    </row>
    <row r="90" spans="1:5" x14ac:dyDescent="0.35">
      <c r="A90" s="25" t="s">
        <v>136</v>
      </c>
      <c r="B90" s="26" t="str">
        <f>IF(AND('Cleaned data'!S50&gt;2000,'Cleaned data'!U50&gt;0),"High Value","Normal")</f>
        <v>Normal</v>
      </c>
      <c r="C90" s="25" t="str">
        <f>IF(OR('Cleaned data'!O50&gt;0.3,'Cleaned data'!J50&lt;2),"Risky","Safe")</f>
        <v>Safe</v>
      </c>
      <c r="D90" s="25" t="str">
        <f>IF('Cleaned data'!R50="Delivered","Completed","Not Completed")</f>
        <v>Completed</v>
      </c>
      <c r="E90" s="25" t="str">
        <f>IF('Cleaned data'!J50&gt;=15,"Bulk Order",
 IF('Cleaned data'!J50&gt;=5,"Normal Order",
 "Small Order"))</f>
        <v>Bulk Order</v>
      </c>
    </row>
    <row r="91" spans="1:5" x14ac:dyDescent="0.35">
      <c r="A91" s="25" t="s">
        <v>138</v>
      </c>
      <c r="B91" s="26" t="str">
        <f>IF(AND('Cleaned data'!S51&gt;2000,'Cleaned data'!U51&gt;0),"High Value","Normal")</f>
        <v>Normal</v>
      </c>
      <c r="C91" s="25" t="str">
        <f>IF(OR('Cleaned data'!O51&gt;0.3,'Cleaned data'!J51&lt;2),"Risky","Safe")</f>
        <v>Safe</v>
      </c>
      <c r="D91" s="25" t="str">
        <f>IF('Cleaned data'!R51="Delivered","Completed","Not Completed")</f>
        <v>Not Completed</v>
      </c>
      <c r="E91" s="25" t="str">
        <f>IF('Cleaned data'!J51&gt;=15,"Bulk Order",
 IF('Cleaned data'!J51&gt;=5,"Normal Order",
 "Small Order"))</f>
        <v>Bulk Order</v>
      </c>
    </row>
    <row r="92" spans="1:5" x14ac:dyDescent="0.35">
      <c r="A92" s="25" t="s">
        <v>140</v>
      </c>
      <c r="B92" s="26" t="str">
        <f>IF(AND('Cleaned data'!S52&gt;2000,'Cleaned data'!U52&gt;0),"High Value","Normal")</f>
        <v>High Value</v>
      </c>
      <c r="C92" s="25" t="str">
        <f>IF(OR('Cleaned data'!O52&gt;0.3,'Cleaned data'!J52&lt;2),"Risky","Safe")</f>
        <v>Safe</v>
      </c>
      <c r="D92" s="25" t="str">
        <f>IF('Cleaned data'!R52="Delivered","Completed","Not Completed")</f>
        <v>Not Completed</v>
      </c>
      <c r="E92" s="25" t="str">
        <f>IF('Cleaned data'!J52&gt;=15,"Bulk Order",
 IF('Cleaned data'!J52&gt;=5,"Normal Order",
 "Small Order"))</f>
        <v>Normal Order</v>
      </c>
    </row>
    <row r="93" spans="1:5" x14ac:dyDescent="0.35">
      <c r="A93" s="25" t="s">
        <v>142</v>
      </c>
      <c r="B93" s="26" t="str">
        <f>IF(AND('Cleaned data'!S53&gt;2000,'Cleaned data'!U53&gt;0),"High Value","Normal")</f>
        <v>High Value</v>
      </c>
      <c r="C93" s="25" t="str">
        <f>IF(OR('Cleaned data'!O53&gt;0.3,'Cleaned data'!J53&lt;2),"Risky","Safe")</f>
        <v>Safe</v>
      </c>
      <c r="D93" s="25" t="str">
        <f>IF('Cleaned data'!R53="Delivered","Completed","Not Completed")</f>
        <v>Not Completed</v>
      </c>
      <c r="E93" s="25" t="str">
        <f>IF('Cleaned data'!J53&gt;=15,"Bulk Order",
 IF('Cleaned data'!J53&gt;=5,"Normal Order",
 "Small Order"))</f>
        <v>Bulk Order</v>
      </c>
    </row>
    <row r="94" spans="1:5" x14ac:dyDescent="0.35">
      <c r="A94" s="25" t="s">
        <v>144</v>
      </c>
      <c r="B94" s="26" t="str">
        <f>IF(AND('Cleaned data'!S54&gt;2000,'Cleaned data'!U54&gt;0),"High Value","Normal")</f>
        <v>Normal</v>
      </c>
      <c r="C94" s="25" t="str">
        <f>IF(OR('Cleaned data'!O54&gt;0.3,'Cleaned data'!J54&lt;2),"Risky","Safe")</f>
        <v>Safe</v>
      </c>
      <c r="D94" s="25" t="str">
        <f>IF('Cleaned data'!R54="Delivered","Completed","Not Completed")</f>
        <v>Not Completed</v>
      </c>
      <c r="E94" s="25" t="str">
        <f>IF('Cleaned data'!J54&gt;=15,"Bulk Order",
 IF('Cleaned data'!J54&gt;=5,"Normal Order",
 "Small Order"))</f>
        <v>Bulk Order</v>
      </c>
    </row>
    <row r="95" spans="1:5" x14ac:dyDescent="0.35">
      <c r="A95" s="25" t="s">
        <v>146</v>
      </c>
      <c r="B95" s="26" t="str">
        <f>IF(AND('Cleaned data'!S55&gt;2000,'Cleaned data'!U55&gt;0),"High Value","Normal")</f>
        <v>High Value</v>
      </c>
      <c r="C95" s="25" t="str">
        <f>IF(OR('Cleaned data'!O55&gt;0.3,'Cleaned data'!J55&lt;2),"Risky","Safe")</f>
        <v>Safe</v>
      </c>
      <c r="D95" s="25" t="str">
        <f>IF('Cleaned data'!R55="Delivered","Completed","Not Completed")</f>
        <v>Not Completed</v>
      </c>
      <c r="E95" s="25" t="str">
        <f>IF('Cleaned data'!J55&gt;=15,"Bulk Order",
 IF('Cleaned data'!J55&gt;=5,"Normal Order",
 "Small Order"))</f>
        <v>Bulk Order</v>
      </c>
    </row>
    <row r="96" spans="1:5" x14ac:dyDescent="0.35">
      <c r="A96" s="25" t="s">
        <v>147</v>
      </c>
      <c r="B96" s="26" t="str">
        <f>IF(AND('Cleaned data'!S56&gt;2000,'Cleaned data'!U56&gt;0),"High Value","Normal")</f>
        <v>Normal</v>
      </c>
      <c r="C96" s="25" t="str">
        <f>IF(OR('Cleaned data'!O56&gt;0.3,'Cleaned data'!J56&lt;2),"Risky","Safe")</f>
        <v>Safe</v>
      </c>
      <c r="D96" s="25" t="str">
        <f>IF('Cleaned data'!R56="Delivered","Completed","Not Completed")</f>
        <v>Not Completed</v>
      </c>
      <c r="E96" s="25" t="str">
        <f>IF('Cleaned data'!J56&gt;=15,"Bulk Order",
 IF('Cleaned data'!J56&gt;=5,"Normal Order",
 "Small Order"))</f>
        <v>Bulk Order</v>
      </c>
    </row>
    <row r="97" spans="1:5" x14ac:dyDescent="0.35">
      <c r="A97" s="25" t="s">
        <v>149</v>
      </c>
      <c r="B97" s="26" t="str">
        <f>IF(AND('Cleaned data'!S57&gt;2000,'Cleaned data'!U57&gt;0),"High Value","Normal")</f>
        <v>High Value</v>
      </c>
      <c r="C97" s="25" t="str">
        <f>IF(OR('Cleaned data'!O57&gt;0.3,'Cleaned data'!J57&lt;2),"Risky","Safe")</f>
        <v>Safe</v>
      </c>
      <c r="D97" s="25" t="str">
        <f>IF('Cleaned data'!R57="Delivered","Completed","Not Completed")</f>
        <v>Not Completed</v>
      </c>
      <c r="E97" s="25" t="str">
        <f>IF('Cleaned data'!J57&gt;=15,"Bulk Order",
 IF('Cleaned data'!J57&gt;=5,"Normal Order",
 "Small Order"))</f>
        <v>Bulk Order</v>
      </c>
    </row>
    <row r="98" spans="1:5" x14ac:dyDescent="0.35">
      <c r="A98" s="25" t="s">
        <v>151</v>
      </c>
      <c r="B98" s="26" t="str">
        <f>IF(AND('Cleaned data'!S58&gt;2000,'Cleaned data'!U58&gt;0),"High Value","Normal")</f>
        <v>Normal</v>
      </c>
      <c r="C98" s="25" t="str">
        <f>IF(OR('Cleaned data'!O58&gt;0.3,'Cleaned data'!J58&lt;2),"Risky","Safe")</f>
        <v>Safe</v>
      </c>
      <c r="D98" s="25" t="str">
        <f>IF('Cleaned data'!R58="Delivered","Completed","Not Completed")</f>
        <v>Not Completed</v>
      </c>
      <c r="E98" s="25" t="str">
        <f>IF('Cleaned data'!J58&gt;=15,"Bulk Order",
 IF('Cleaned data'!J58&gt;=5,"Normal Order",
 "Small Order"))</f>
        <v>Bulk Order</v>
      </c>
    </row>
    <row r="99" spans="1:5" x14ac:dyDescent="0.35">
      <c r="A99" s="25" t="s">
        <v>153</v>
      </c>
      <c r="B99" s="26" t="str">
        <f>IF(AND('Cleaned data'!S59&gt;2000,'Cleaned data'!U59&gt;0),"High Value","Normal")</f>
        <v>High Value</v>
      </c>
      <c r="C99" s="25" t="str">
        <f>IF(OR('Cleaned data'!O59&gt;0.3,'Cleaned data'!J59&lt;2),"Risky","Safe")</f>
        <v>Safe</v>
      </c>
      <c r="D99" s="25" t="str">
        <f>IF('Cleaned data'!R59="Delivered","Completed","Not Completed")</f>
        <v>Not Completed</v>
      </c>
      <c r="E99" s="25" t="str">
        <f>IF('Cleaned data'!J59&gt;=15,"Bulk Order",
 IF('Cleaned data'!J59&gt;=5,"Normal Order",
 "Small Order"))</f>
        <v>Bulk Order</v>
      </c>
    </row>
    <row r="100" spans="1:5" x14ac:dyDescent="0.35">
      <c r="A100" s="25" t="s">
        <v>155</v>
      </c>
      <c r="B100" s="26" t="str">
        <f>IF(AND('Cleaned data'!S60&gt;2000,'Cleaned data'!U60&gt;0),"High Value","Normal")</f>
        <v>Normal</v>
      </c>
      <c r="C100" s="25" t="str">
        <f>IF(OR('Cleaned data'!O60&gt;0.3,'Cleaned data'!J60&lt;2),"Risky","Safe")</f>
        <v>Safe</v>
      </c>
      <c r="D100" s="25" t="str">
        <f>IF('Cleaned data'!R60="Delivered","Completed","Not Completed")</f>
        <v>Not Completed</v>
      </c>
      <c r="E100" s="25" t="str">
        <f>IF('Cleaned data'!J60&gt;=15,"Bulk Order",
 IF('Cleaned data'!J60&gt;=5,"Normal Order",
 "Small Order"))</f>
        <v>Bulk Order</v>
      </c>
    </row>
    <row r="101" spans="1:5" x14ac:dyDescent="0.35">
      <c r="A101" s="25" t="s">
        <v>157</v>
      </c>
      <c r="B101" s="26" t="str">
        <f>IF(AND('Cleaned data'!S61&gt;2000,'Cleaned data'!U61&gt;0),"High Value","Normal")</f>
        <v>Normal</v>
      </c>
      <c r="C101" s="25" t="str">
        <f>IF(OR('Cleaned data'!O61&gt;0.3,'Cleaned data'!J61&lt;2),"Risky","Safe")</f>
        <v>Safe</v>
      </c>
      <c r="D101" s="25" t="str">
        <f>IF('Cleaned data'!R61="Delivered","Completed","Not Completed")</f>
        <v>Completed</v>
      </c>
      <c r="E101" s="25" t="str">
        <f>IF('Cleaned data'!J61&gt;=15,"Bulk Order",
 IF('Cleaned data'!J61&gt;=5,"Normal Order",
 "Small Order"))</f>
        <v>Bulk Order</v>
      </c>
    </row>
    <row r="102" spans="1:5" x14ac:dyDescent="0.35">
      <c r="A102" s="25" t="s">
        <v>159</v>
      </c>
      <c r="B102" s="26" t="str">
        <f>IF(AND('Cleaned data'!S62&gt;2000,'Cleaned data'!U62&gt;0),"High Value","Normal")</f>
        <v>Normal</v>
      </c>
      <c r="C102" s="25" t="str">
        <f>IF(OR('Cleaned data'!O62&gt;0.3,'Cleaned data'!J62&lt;2),"Risky","Safe")</f>
        <v>Safe</v>
      </c>
      <c r="D102" s="25" t="str">
        <f>IF('Cleaned data'!R62="Delivered","Completed","Not Completed")</f>
        <v>Not Completed</v>
      </c>
      <c r="E102" s="25" t="str">
        <f>IF('Cleaned data'!J62&gt;=15,"Bulk Order",
 IF('Cleaned data'!J62&gt;=5,"Normal Order",
 "Small Order"))</f>
        <v>Bulk Order</v>
      </c>
    </row>
    <row r="103" spans="1:5" x14ac:dyDescent="0.35">
      <c r="A103" s="25" t="s">
        <v>161</v>
      </c>
      <c r="B103" s="26" t="str">
        <f>IF(AND('Cleaned data'!S63&gt;2000,'Cleaned data'!U63&gt;0),"High Value","Normal")</f>
        <v>Normal</v>
      </c>
      <c r="C103" s="25" t="str">
        <f>IF(OR('Cleaned data'!O63&gt;0.3,'Cleaned data'!J63&lt;2),"Risky","Safe")</f>
        <v>Safe</v>
      </c>
      <c r="D103" s="25" t="str">
        <f>IF('Cleaned data'!R63="Delivered","Completed","Not Completed")</f>
        <v>Completed</v>
      </c>
      <c r="E103" s="25" t="str">
        <f>IF('Cleaned data'!J63&gt;=15,"Bulk Order",
 IF('Cleaned data'!J63&gt;=5,"Normal Order",
 "Small Order"))</f>
        <v>Bulk Order</v>
      </c>
    </row>
    <row r="104" spans="1:5" x14ac:dyDescent="0.35">
      <c r="A104" s="25" t="s">
        <v>163</v>
      </c>
      <c r="B104" s="26" t="str">
        <f>IF(AND('Cleaned data'!S64&gt;2000,'Cleaned data'!U64&gt;0),"High Value","Normal")</f>
        <v>High Value</v>
      </c>
      <c r="C104" s="25" t="str">
        <f>IF(OR('Cleaned data'!O64&gt;0.3,'Cleaned data'!J64&lt;2),"Risky","Safe")</f>
        <v>Safe</v>
      </c>
      <c r="D104" s="25" t="str">
        <f>IF('Cleaned data'!R64="Delivered","Completed","Not Completed")</f>
        <v>Not Completed</v>
      </c>
      <c r="E104" s="25" t="str">
        <f>IF('Cleaned data'!J64&gt;=15,"Bulk Order",
 IF('Cleaned data'!J64&gt;=5,"Normal Order",
 "Small Order"))</f>
        <v>Normal Order</v>
      </c>
    </row>
    <row r="105" spans="1:5" x14ac:dyDescent="0.35">
      <c r="A105" s="25" t="s">
        <v>165</v>
      </c>
      <c r="B105" s="26" t="str">
        <f>IF(AND('Cleaned data'!S65&gt;2000,'Cleaned data'!U65&gt;0),"High Value","Normal")</f>
        <v>High Value</v>
      </c>
      <c r="C105" s="25" t="str">
        <f>IF(OR('Cleaned data'!O65&gt;0.3,'Cleaned data'!J65&lt;2),"Risky","Safe")</f>
        <v>Safe</v>
      </c>
      <c r="D105" s="25" t="str">
        <f>IF('Cleaned data'!R65="Delivered","Completed","Not Completed")</f>
        <v>Completed</v>
      </c>
      <c r="E105" s="25" t="str">
        <f>IF('Cleaned data'!J65&gt;=15,"Bulk Order",
 IF('Cleaned data'!J65&gt;=5,"Normal Order",
 "Small Order"))</f>
        <v>Bulk Order</v>
      </c>
    </row>
    <row r="106" spans="1:5" x14ac:dyDescent="0.35">
      <c r="A106" s="25" t="s">
        <v>167</v>
      </c>
      <c r="B106" s="26" t="str">
        <f>IF(AND('Cleaned data'!S66&gt;2000,'Cleaned data'!U66&gt;0),"High Value","Normal")</f>
        <v>High Value</v>
      </c>
      <c r="C106" s="25" t="str">
        <f>IF(OR('Cleaned data'!O66&gt;0.3,'Cleaned data'!J66&lt;2),"Risky","Safe")</f>
        <v>Safe</v>
      </c>
      <c r="D106" s="25" t="str">
        <f>IF('Cleaned data'!R66="Delivered","Completed","Not Completed")</f>
        <v>Not Completed</v>
      </c>
      <c r="E106" s="25" t="str">
        <f>IF('Cleaned data'!J66&gt;=15,"Bulk Order",
 IF('Cleaned data'!J66&gt;=5,"Normal Order",
 "Small Order"))</f>
        <v>Bulk Order</v>
      </c>
    </row>
    <row r="107" spans="1:5" x14ac:dyDescent="0.35">
      <c r="A107" s="25" t="s">
        <v>169</v>
      </c>
      <c r="B107" s="26" t="str">
        <f>IF(AND('Cleaned data'!S67&gt;2000,'Cleaned data'!U67&gt;0),"High Value","Normal")</f>
        <v>High Value</v>
      </c>
      <c r="C107" s="25" t="str">
        <f>IF(OR('Cleaned data'!O67&gt;0.3,'Cleaned data'!J67&lt;2),"Risky","Safe")</f>
        <v>Safe</v>
      </c>
      <c r="D107" s="25" t="str">
        <f>IF('Cleaned data'!R67="Delivered","Completed","Not Completed")</f>
        <v>Not Completed</v>
      </c>
      <c r="E107" s="25" t="str">
        <f>IF('Cleaned data'!J67&gt;=15,"Bulk Order",
 IF('Cleaned data'!J67&gt;=5,"Normal Order",
 "Small Order"))</f>
        <v>Bulk Order</v>
      </c>
    </row>
    <row r="108" spans="1:5" x14ac:dyDescent="0.35">
      <c r="A108" s="25" t="s">
        <v>171</v>
      </c>
      <c r="B108" s="26" t="str">
        <f>IF(AND('Cleaned data'!S68&gt;2000,'Cleaned data'!U68&gt;0),"High Value","Normal")</f>
        <v>Normal</v>
      </c>
      <c r="C108" s="25" t="str">
        <f>IF(OR('Cleaned data'!O68&gt;0.3,'Cleaned data'!J68&lt;2),"Risky","Safe")</f>
        <v>Safe</v>
      </c>
      <c r="D108" s="25" t="str">
        <f>IF('Cleaned data'!R68="Delivered","Completed","Not Completed")</f>
        <v>Completed</v>
      </c>
      <c r="E108" s="25" t="str">
        <f>IF('Cleaned data'!J68&gt;=15,"Bulk Order",
 IF('Cleaned data'!J68&gt;=5,"Normal Order",
 "Small Order"))</f>
        <v>Bulk Order</v>
      </c>
    </row>
    <row r="109" spans="1:5" x14ac:dyDescent="0.35">
      <c r="A109" s="25" t="s">
        <v>173</v>
      </c>
      <c r="B109" s="26" t="str">
        <f>IF(AND('Cleaned data'!S69&gt;2000,'Cleaned data'!U69&gt;0),"High Value","Normal")</f>
        <v>High Value</v>
      </c>
      <c r="C109" s="25" t="str">
        <f>IF(OR('Cleaned data'!O69&gt;0.3,'Cleaned data'!J69&lt;2),"Risky","Safe")</f>
        <v>Safe</v>
      </c>
      <c r="D109" s="25" t="str">
        <f>IF('Cleaned data'!R69="Delivered","Completed","Not Completed")</f>
        <v>Not Completed</v>
      </c>
      <c r="E109" s="25" t="str">
        <f>IF('Cleaned data'!J69&gt;=15,"Bulk Order",
 IF('Cleaned data'!J69&gt;=5,"Normal Order",
 "Small Order"))</f>
        <v>Normal Order</v>
      </c>
    </row>
    <row r="110" spans="1:5" x14ac:dyDescent="0.35">
      <c r="A110" s="25" t="s">
        <v>175</v>
      </c>
      <c r="B110" s="26" t="str">
        <f>IF(AND('Cleaned data'!S70&gt;2000,'Cleaned data'!U70&gt;0),"High Value","Normal")</f>
        <v>High Value</v>
      </c>
      <c r="C110" s="25" t="str">
        <f>IF(OR('Cleaned data'!O70&gt;0.3,'Cleaned data'!J70&lt;2),"Risky","Safe")</f>
        <v>Safe</v>
      </c>
      <c r="D110" s="25" t="str">
        <f>IF('Cleaned data'!R70="Delivered","Completed","Not Completed")</f>
        <v>Not Completed</v>
      </c>
      <c r="E110" s="25" t="str">
        <f>IF('Cleaned data'!J70&gt;=15,"Bulk Order",
 IF('Cleaned data'!J70&gt;=5,"Normal Order",
 "Small Order"))</f>
        <v>Bulk Order</v>
      </c>
    </row>
    <row r="111" spans="1:5" x14ac:dyDescent="0.35">
      <c r="A111" s="25" t="s">
        <v>177</v>
      </c>
      <c r="B111" s="26" t="str">
        <f>IF(AND('Cleaned data'!S71&gt;2000,'Cleaned data'!U71&gt;0),"High Value","Normal")</f>
        <v>Normal</v>
      </c>
      <c r="C111" s="25" t="str">
        <f>IF(OR('Cleaned data'!O71&gt;0.3,'Cleaned data'!J71&lt;2),"Risky","Safe")</f>
        <v>Safe</v>
      </c>
      <c r="D111" s="25" t="str">
        <f>IF('Cleaned data'!R71="Delivered","Completed","Not Completed")</f>
        <v>Not Completed</v>
      </c>
      <c r="E111" s="25" t="str">
        <f>IF('Cleaned data'!J71&gt;=15,"Bulk Order",
 IF('Cleaned data'!J71&gt;=5,"Normal Order",
 "Small Order"))</f>
        <v>Bulk Order</v>
      </c>
    </row>
    <row r="112" spans="1:5" x14ac:dyDescent="0.35">
      <c r="A112" s="25" t="s">
        <v>179</v>
      </c>
      <c r="B112" s="26" t="str">
        <f>IF(AND('Cleaned data'!S72&gt;2000,'Cleaned data'!U72&gt;0),"High Value","Normal")</f>
        <v>High Value</v>
      </c>
      <c r="C112" s="25" t="str">
        <f>IF(OR('Cleaned data'!O72&gt;0.3,'Cleaned data'!J72&lt;2),"Risky","Safe")</f>
        <v>Safe</v>
      </c>
      <c r="D112" s="25" t="str">
        <f>IF('Cleaned data'!R72="Delivered","Completed","Not Completed")</f>
        <v>Completed</v>
      </c>
      <c r="E112" s="25" t="str">
        <f>IF('Cleaned data'!J72&gt;=15,"Bulk Order",
 IF('Cleaned data'!J72&gt;=5,"Normal Order",
 "Small Order"))</f>
        <v>Bulk Order</v>
      </c>
    </row>
    <row r="113" spans="1:5" x14ac:dyDescent="0.35">
      <c r="A113" s="25" t="s">
        <v>181</v>
      </c>
      <c r="B113" s="26" t="str">
        <f>IF(AND('Cleaned data'!S73&gt;2000,'Cleaned data'!U73&gt;0),"High Value","Normal")</f>
        <v>Normal</v>
      </c>
      <c r="C113" s="25" t="str">
        <f>IF(OR('Cleaned data'!O73&gt;0.3,'Cleaned data'!J73&lt;2),"Risky","Safe")</f>
        <v>Safe</v>
      </c>
      <c r="D113" s="25" t="str">
        <f>IF('Cleaned data'!R73="Delivered","Completed","Not Completed")</f>
        <v>Not Completed</v>
      </c>
      <c r="E113" s="25" t="str">
        <f>IF('Cleaned data'!J73&gt;=15,"Bulk Order",
 IF('Cleaned data'!J73&gt;=5,"Normal Order",
 "Small Order"))</f>
        <v>Normal Order</v>
      </c>
    </row>
    <row r="114" spans="1:5" x14ac:dyDescent="0.35">
      <c r="A114" s="25" t="s">
        <v>183</v>
      </c>
      <c r="B114" s="26" t="str">
        <f>IF(AND('Cleaned data'!S74&gt;2000,'Cleaned data'!U74&gt;0),"High Value","Normal")</f>
        <v>Normal</v>
      </c>
      <c r="C114" s="25" t="str">
        <f>IF(OR('Cleaned data'!O74&gt;0.3,'Cleaned data'!J74&lt;2),"Risky","Safe")</f>
        <v>Safe</v>
      </c>
      <c r="D114" s="25" t="str">
        <f>IF('Cleaned data'!R74="Delivered","Completed","Not Completed")</f>
        <v>Not Completed</v>
      </c>
      <c r="E114" s="25" t="str">
        <f>IF('Cleaned data'!J74&gt;=15,"Bulk Order",
 IF('Cleaned data'!J74&gt;=5,"Normal Order",
 "Small Order"))</f>
        <v>Bulk Order</v>
      </c>
    </row>
    <row r="115" spans="1:5" x14ac:dyDescent="0.35">
      <c r="A115" s="25" t="s">
        <v>185</v>
      </c>
      <c r="B115" s="26" t="str">
        <f>IF(AND('Cleaned data'!S75&gt;2000,'Cleaned data'!U75&gt;0),"High Value","Normal")</f>
        <v>High Value</v>
      </c>
      <c r="C115" s="25" t="str">
        <f>IF(OR('Cleaned data'!O75&gt;0.3,'Cleaned data'!J75&lt;2),"Risky","Safe")</f>
        <v>Safe</v>
      </c>
      <c r="D115" s="25" t="str">
        <f>IF('Cleaned data'!R75="Delivered","Completed","Not Completed")</f>
        <v>Not Completed</v>
      </c>
      <c r="E115" s="25" t="str">
        <f>IF('Cleaned data'!J75&gt;=15,"Bulk Order",
 IF('Cleaned data'!J75&gt;=5,"Normal Order",
 "Small Order"))</f>
        <v>Bulk Order</v>
      </c>
    </row>
    <row r="116" spans="1:5" x14ac:dyDescent="0.35">
      <c r="A116" s="25" t="s">
        <v>187</v>
      </c>
      <c r="B116" s="26" t="str">
        <f>IF(AND('Cleaned data'!S76&gt;2000,'Cleaned data'!U76&gt;0),"High Value","Normal")</f>
        <v>High Value</v>
      </c>
      <c r="C116" s="25" t="str">
        <f>IF(OR('Cleaned data'!O76&gt;0.3,'Cleaned data'!J76&lt;2),"Risky","Safe")</f>
        <v>Safe</v>
      </c>
      <c r="D116" s="25" t="str">
        <f>IF('Cleaned data'!R76="Delivered","Completed","Not Completed")</f>
        <v>Not Completed</v>
      </c>
      <c r="E116" s="25" t="str">
        <f>IF('Cleaned data'!J76&gt;=15,"Bulk Order",
 IF('Cleaned data'!J76&gt;=5,"Normal Order",
 "Small Order"))</f>
        <v>Bulk Order</v>
      </c>
    </row>
    <row r="117" spans="1:5" x14ac:dyDescent="0.35">
      <c r="A117" s="25" t="s">
        <v>189</v>
      </c>
      <c r="B117" s="26" t="str">
        <f>IF(AND('Cleaned data'!S77&gt;2000,'Cleaned data'!U77&gt;0),"High Value","Normal")</f>
        <v>Normal</v>
      </c>
      <c r="C117" s="25" t="str">
        <f>IF(OR('Cleaned data'!O77&gt;0.3,'Cleaned data'!J77&lt;2),"Risky","Safe")</f>
        <v>Safe</v>
      </c>
      <c r="D117" s="25" t="str">
        <f>IF('Cleaned data'!R77="Delivered","Completed","Not Completed")</f>
        <v>Completed</v>
      </c>
      <c r="E117" s="25" t="str">
        <f>IF('Cleaned data'!J77&gt;=15,"Bulk Order",
 IF('Cleaned data'!J77&gt;=5,"Normal Order",
 "Small Order"))</f>
        <v>Small Order</v>
      </c>
    </row>
    <row r="118" spans="1:5" x14ac:dyDescent="0.35">
      <c r="A118" s="25" t="s">
        <v>190</v>
      </c>
      <c r="B118" s="26" t="str">
        <f>IF(AND('Cleaned data'!S78&gt;2000,'Cleaned data'!U78&gt;0),"High Value","Normal")</f>
        <v>High Value</v>
      </c>
      <c r="C118" s="25" t="str">
        <f>IF(OR('Cleaned data'!O78&gt;0.3,'Cleaned data'!J78&lt;2),"Risky","Safe")</f>
        <v>Safe</v>
      </c>
      <c r="D118" s="25" t="str">
        <f>IF('Cleaned data'!R78="Delivered","Completed","Not Completed")</f>
        <v>Not Completed</v>
      </c>
      <c r="E118" s="25" t="str">
        <f>IF('Cleaned data'!J78&gt;=15,"Bulk Order",
 IF('Cleaned data'!J78&gt;=5,"Normal Order",
 "Small Order"))</f>
        <v>Bulk Order</v>
      </c>
    </row>
    <row r="119" spans="1:5" x14ac:dyDescent="0.35">
      <c r="A119" s="25" t="s">
        <v>191</v>
      </c>
      <c r="B119" s="26" t="str">
        <f>IF(AND('Cleaned data'!S79&gt;2000,'Cleaned data'!U79&gt;0),"High Value","Normal")</f>
        <v>Normal</v>
      </c>
      <c r="C119" s="25" t="str">
        <f>IF(OR('Cleaned data'!O79&gt;0.3,'Cleaned data'!J79&lt;2),"Risky","Safe")</f>
        <v>Safe</v>
      </c>
      <c r="D119" s="25" t="str">
        <f>IF('Cleaned data'!R79="Delivered","Completed","Not Completed")</f>
        <v>Not Completed</v>
      </c>
      <c r="E119" s="25" t="str">
        <f>IF('Cleaned data'!J79&gt;=15,"Bulk Order",
 IF('Cleaned data'!J79&gt;=5,"Normal Order",
 "Small Order"))</f>
        <v>Bulk Order</v>
      </c>
    </row>
    <row r="120" spans="1:5" x14ac:dyDescent="0.35">
      <c r="A120" s="25" t="s">
        <v>193</v>
      </c>
      <c r="B120" s="26" t="str">
        <f>IF(AND('Cleaned data'!S80&gt;2000,'Cleaned data'!U80&gt;0),"High Value","Normal")</f>
        <v>Normal</v>
      </c>
      <c r="C120" s="25" t="str">
        <f>IF(OR('Cleaned data'!O80&gt;0.3,'Cleaned data'!J80&lt;2),"Risky","Safe")</f>
        <v>Safe</v>
      </c>
      <c r="D120" s="25" t="str">
        <f>IF('Cleaned data'!R80="Delivered","Completed","Not Completed")</f>
        <v>Completed</v>
      </c>
      <c r="E120" s="25" t="str">
        <f>IF('Cleaned data'!J80&gt;=15,"Bulk Order",
 IF('Cleaned data'!J80&gt;=5,"Normal Order",
 "Small Order"))</f>
        <v>Bulk Order</v>
      </c>
    </row>
    <row r="121" spans="1:5" x14ac:dyDescent="0.35">
      <c r="A121" s="25" t="s">
        <v>195</v>
      </c>
      <c r="B121" s="26" t="str">
        <f>IF(AND('Cleaned data'!S81&gt;2000,'Cleaned data'!U81&gt;0),"High Value","Normal")</f>
        <v>High Value</v>
      </c>
      <c r="C121" s="25" t="str">
        <f>IF(OR('Cleaned data'!O81&gt;0.3,'Cleaned data'!J81&lt;2),"Risky","Safe")</f>
        <v>Safe</v>
      </c>
      <c r="D121" s="25" t="str">
        <f>IF('Cleaned data'!R81="Delivered","Completed","Not Completed")</f>
        <v>Not Completed</v>
      </c>
      <c r="E121" s="25" t="str">
        <f>IF('Cleaned data'!J81&gt;=15,"Bulk Order",
 IF('Cleaned data'!J81&gt;=5,"Normal Order",
 "Small Order"))</f>
        <v>Bulk Order</v>
      </c>
    </row>
    <row r="122" spans="1:5" x14ac:dyDescent="0.35">
      <c r="A122" s="25" t="s">
        <v>197</v>
      </c>
      <c r="B122" s="26" t="str">
        <f>IF(AND('Cleaned data'!S82&gt;2000,'Cleaned data'!U82&gt;0),"High Value","Normal")</f>
        <v>Normal</v>
      </c>
      <c r="C122" s="25" t="str">
        <f>IF(OR('Cleaned data'!O82&gt;0.3,'Cleaned data'!J82&lt;2),"Risky","Safe")</f>
        <v>Safe</v>
      </c>
      <c r="D122" s="25" t="str">
        <f>IF('Cleaned data'!R82="Delivered","Completed","Not Completed")</f>
        <v>Not Completed</v>
      </c>
      <c r="E122" s="25" t="str">
        <f>IF('Cleaned data'!J82&gt;=15,"Bulk Order",
 IF('Cleaned data'!J82&gt;=5,"Normal Order",
 "Small Order"))</f>
        <v>Bulk Order</v>
      </c>
    </row>
    <row r="123" spans="1:5" x14ac:dyDescent="0.35">
      <c r="A123" s="25" t="s">
        <v>199</v>
      </c>
      <c r="B123" s="26" t="str">
        <f>IF(AND('Cleaned data'!S83&gt;2000,'Cleaned data'!U83&gt;0),"High Value","Normal")</f>
        <v>Normal</v>
      </c>
      <c r="C123" s="25" t="str">
        <f>IF(OR('Cleaned data'!O83&gt;0.3,'Cleaned data'!J83&lt;2),"Risky","Safe")</f>
        <v>Safe</v>
      </c>
      <c r="D123" s="25" t="str">
        <f>IF('Cleaned data'!R83="Delivered","Completed","Not Completed")</f>
        <v>Not Completed</v>
      </c>
      <c r="E123" s="25" t="str">
        <f>IF('Cleaned data'!J83&gt;=15,"Bulk Order",
 IF('Cleaned data'!J83&gt;=5,"Normal Order",
 "Small Order"))</f>
        <v>Normal Order</v>
      </c>
    </row>
    <row r="124" spans="1:5" x14ac:dyDescent="0.35">
      <c r="A124" s="25" t="s">
        <v>201</v>
      </c>
      <c r="B124" s="26" t="str">
        <f>IF(AND('Cleaned data'!S84&gt;2000,'Cleaned data'!U84&gt;0),"High Value","Normal")</f>
        <v>Normal</v>
      </c>
      <c r="C124" s="25" t="str">
        <f>IF(OR('Cleaned data'!O84&gt;0.3,'Cleaned data'!J84&lt;2),"Risky","Safe")</f>
        <v>Safe</v>
      </c>
      <c r="D124" s="25" t="str">
        <f>IF('Cleaned data'!R84="Delivered","Completed","Not Completed")</f>
        <v>Completed</v>
      </c>
      <c r="E124" s="25" t="str">
        <f>IF('Cleaned data'!J84&gt;=15,"Bulk Order",
 IF('Cleaned data'!J84&gt;=5,"Normal Order",
 "Small Order"))</f>
        <v>Bulk Order</v>
      </c>
    </row>
    <row r="125" spans="1:5" x14ac:dyDescent="0.35">
      <c r="A125" s="25" t="s">
        <v>202</v>
      </c>
      <c r="B125" s="26" t="str">
        <f>IF(AND('Cleaned data'!S85&gt;2000,'Cleaned data'!U85&gt;0),"High Value","Normal")</f>
        <v>High Value</v>
      </c>
      <c r="C125" s="25" t="str">
        <f>IF(OR('Cleaned data'!O85&gt;0.3,'Cleaned data'!J85&lt;2),"Risky","Safe")</f>
        <v>Safe</v>
      </c>
      <c r="D125" s="25" t="str">
        <f>IF('Cleaned data'!R85="Delivered","Completed","Not Completed")</f>
        <v>Not Completed</v>
      </c>
      <c r="E125" s="25" t="str">
        <f>IF('Cleaned data'!J85&gt;=15,"Bulk Order",
 IF('Cleaned data'!J85&gt;=5,"Normal Order",
 "Small Order"))</f>
        <v>Bulk Order</v>
      </c>
    </row>
    <row r="126" spans="1:5" x14ac:dyDescent="0.35">
      <c r="A126" s="25" t="s">
        <v>204</v>
      </c>
      <c r="B126" s="26" t="str">
        <f>IF(AND('Cleaned data'!S86&gt;2000,'Cleaned data'!U86&gt;0),"High Value","Normal")</f>
        <v>Normal</v>
      </c>
      <c r="C126" s="25" t="str">
        <f>IF(OR('Cleaned data'!O86&gt;0.3,'Cleaned data'!J86&lt;2),"Risky","Safe")</f>
        <v>Safe</v>
      </c>
      <c r="D126" s="25" t="str">
        <f>IF('Cleaned data'!R86="Delivered","Completed","Not Completed")</f>
        <v>Completed</v>
      </c>
      <c r="E126" s="25" t="str">
        <f>IF('Cleaned data'!J86&gt;=15,"Bulk Order",
 IF('Cleaned data'!J86&gt;=5,"Normal Order",
 "Small Order"))</f>
        <v>Bulk Order</v>
      </c>
    </row>
    <row r="127" spans="1:5" x14ac:dyDescent="0.35">
      <c r="A127" s="25" t="s">
        <v>206</v>
      </c>
      <c r="B127" s="26" t="str">
        <f>IF(AND('Cleaned data'!S87&gt;2000,'Cleaned data'!U87&gt;0),"High Value","Normal")</f>
        <v>Normal</v>
      </c>
      <c r="C127" s="25" t="str">
        <f>IF(OR('Cleaned data'!O87&gt;0.3,'Cleaned data'!J87&lt;2),"Risky","Safe")</f>
        <v>Safe</v>
      </c>
      <c r="D127" s="25" t="str">
        <f>IF('Cleaned data'!R87="Delivered","Completed","Not Completed")</f>
        <v>Completed</v>
      </c>
      <c r="E127" s="25" t="str">
        <f>IF('Cleaned data'!J87&gt;=15,"Bulk Order",
 IF('Cleaned data'!J87&gt;=5,"Normal Order",
 "Small Order"))</f>
        <v>Small Order</v>
      </c>
    </row>
    <row r="128" spans="1:5" x14ac:dyDescent="0.35">
      <c r="A128" s="25" t="s">
        <v>207</v>
      </c>
      <c r="B128" s="26" t="str">
        <f>IF(AND('Cleaned data'!S88&gt;2000,'Cleaned data'!U88&gt;0),"High Value","Normal")</f>
        <v>High Value</v>
      </c>
      <c r="C128" s="25" t="str">
        <f>IF(OR('Cleaned data'!O88&gt;0.3,'Cleaned data'!J88&lt;2),"Risky","Safe")</f>
        <v>Safe</v>
      </c>
      <c r="D128" s="25" t="str">
        <f>IF('Cleaned data'!R88="Delivered","Completed","Not Completed")</f>
        <v>Not Completed</v>
      </c>
      <c r="E128" s="25" t="str">
        <f>IF('Cleaned data'!J88&gt;=15,"Bulk Order",
 IF('Cleaned data'!J88&gt;=5,"Normal Order",
 "Small Order"))</f>
        <v>Bulk Order</v>
      </c>
    </row>
    <row r="129" spans="1:5" x14ac:dyDescent="0.35">
      <c r="A129" s="25" t="s">
        <v>208</v>
      </c>
      <c r="B129" s="26" t="str">
        <f>IF(AND('Cleaned data'!S89&gt;2000,'Cleaned data'!U89&gt;0),"High Value","Normal")</f>
        <v>High Value</v>
      </c>
      <c r="C129" s="25" t="str">
        <f>IF(OR('Cleaned data'!O89&gt;0.3,'Cleaned data'!J89&lt;2),"Risky","Safe")</f>
        <v>Safe</v>
      </c>
      <c r="D129" s="25" t="str">
        <f>IF('Cleaned data'!R89="Delivered","Completed","Not Completed")</f>
        <v>Completed</v>
      </c>
      <c r="E129" s="25" t="str">
        <f>IF('Cleaned data'!J89&gt;=15,"Bulk Order",
 IF('Cleaned data'!J89&gt;=5,"Normal Order",
 "Small Order"))</f>
        <v>Bulk Order</v>
      </c>
    </row>
    <row r="130" spans="1:5" x14ac:dyDescent="0.35">
      <c r="A130" s="25" t="s">
        <v>210</v>
      </c>
      <c r="B130" s="26" t="str">
        <f>IF(AND('Cleaned data'!S90&gt;2000,'Cleaned data'!U90&gt;0),"High Value","Normal")</f>
        <v>Normal</v>
      </c>
      <c r="C130" s="25" t="str">
        <f>IF(OR('Cleaned data'!O90&gt;0.3,'Cleaned data'!J90&lt;2),"Risky","Safe")</f>
        <v>Safe</v>
      </c>
      <c r="D130" s="25" t="str">
        <f>IF('Cleaned data'!R90="Delivered","Completed","Not Completed")</f>
        <v>Not Completed</v>
      </c>
      <c r="E130" s="25" t="str">
        <f>IF('Cleaned data'!J90&gt;=15,"Bulk Order",
 IF('Cleaned data'!J90&gt;=5,"Normal Order",
 "Small Order"))</f>
        <v>Small Order</v>
      </c>
    </row>
    <row r="131" spans="1:5" x14ac:dyDescent="0.35">
      <c r="A131" s="25" t="s">
        <v>211</v>
      </c>
      <c r="B131" s="26" t="str">
        <f>IF(AND('Cleaned data'!S91&gt;2000,'Cleaned data'!U91&gt;0),"High Value","Normal")</f>
        <v>High Value</v>
      </c>
      <c r="C131" s="25" t="str">
        <f>IF(OR('Cleaned data'!O91&gt;0.3,'Cleaned data'!J91&lt;2),"Risky","Safe")</f>
        <v>Safe</v>
      </c>
      <c r="D131" s="25" t="str">
        <f>IF('Cleaned data'!R91="Delivered","Completed","Not Completed")</f>
        <v>Not Completed</v>
      </c>
      <c r="E131" s="25" t="str">
        <f>IF('Cleaned data'!J91&gt;=15,"Bulk Order",
 IF('Cleaned data'!J91&gt;=5,"Normal Order",
 "Small Order"))</f>
        <v>Bulk Order</v>
      </c>
    </row>
    <row r="132" spans="1:5" x14ac:dyDescent="0.35">
      <c r="A132" s="25" t="s">
        <v>212</v>
      </c>
      <c r="B132" s="26" t="str">
        <f>IF(AND('Cleaned data'!S92&gt;2000,'Cleaned data'!U92&gt;0),"High Value","Normal")</f>
        <v>High Value</v>
      </c>
      <c r="C132" s="25" t="str">
        <f>IF(OR('Cleaned data'!O92&gt;0.3,'Cleaned data'!J92&lt;2),"Risky","Safe")</f>
        <v>Safe</v>
      </c>
      <c r="D132" s="25" t="str">
        <f>IF('Cleaned data'!R92="Delivered","Completed","Not Completed")</f>
        <v>Not Completed</v>
      </c>
      <c r="E132" s="25" t="str">
        <f>IF('Cleaned data'!J92&gt;=15,"Bulk Order",
 IF('Cleaned data'!J92&gt;=5,"Normal Order",
 "Small Order"))</f>
        <v>Bulk Order</v>
      </c>
    </row>
    <row r="133" spans="1:5" x14ac:dyDescent="0.35">
      <c r="A133" s="25" t="s">
        <v>213</v>
      </c>
      <c r="B133" s="26" t="str">
        <f>IF(AND('Cleaned data'!S93&gt;2000,'Cleaned data'!U93&gt;0),"High Value","Normal")</f>
        <v>Normal</v>
      </c>
      <c r="C133" s="25" t="str">
        <f>IF(OR('Cleaned data'!O93&gt;0.3,'Cleaned data'!J93&lt;2),"Risky","Safe")</f>
        <v>Safe</v>
      </c>
      <c r="D133" s="25" t="str">
        <f>IF('Cleaned data'!R93="Delivered","Completed","Not Completed")</f>
        <v>Completed</v>
      </c>
      <c r="E133" s="25" t="str">
        <f>IF('Cleaned data'!J93&gt;=15,"Bulk Order",
 IF('Cleaned data'!J93&gt;=5,"Normal Order",
 "Small Order"))</f>
        <v>Bulk Order</v>
      </c>
    </row>
    <row r="134" spans="1:5" x14ac:dyDescent="0.35">
      <c r="A134" s="25" t="s">
        <v>215</v>
      </c>
      <c r="B134" s="26" t="str">
        <f>IF(AND('Cleaned data'!S94&gt;2000,'Cleaned data'!U94&gt;0),"High Value","Normal")</f>
        <v>Normal</v>
      </c>
      <c r="C134" s="25" t="str">
        <f>IF(OR('Cleaned data'!O94&gt;0.3,'Cleaned data'!J94&lt;2),"Risky","Safe")</f>
        <v>Safe</v>
      </c>
      <c r="D134" s="25" t="str">
        <f>IF('Cleaned data'!R94="Delivered","Completed","Not Completed")</f>
        <v>Not Completed</v>
      </c>
      <c r="E134" s="25" t="str">
        <f>IF('Cleaned data'!J94&gt;=15,"Bulk Order",
 IF('Cleaned data'!J94&gt;=5,"Normal Order",
 "Small Order"))</f>
        <v>Bulk Order</v>
      </c>
    </row>
    <row r="135" spans="1:5" x14ac:dyDescent="0.35">
      <c r="A135" s="25" t="s">
        <v>217</v>
      </c>
      <c r="B135" s="26" t="str">
        <f>IF(AND('Cleaned data'!S95&gt;2000,'Cleaned data'!U95&gt;0),"High Value","Normal")</f>
        <v>Normal</v>
      </c>
      <c r="C135" s="25" t="str">
        <f>IF(OR('Cleaned data'!O95&gt;0.3,'Cleaned data'!J95&lt;2),"Risky","Safe")</f>
        <v>Safe</v>
      </c>
      <c r="D135" s="25" t="str">
        <f>IF('Cleaned data'!R95="Delivered","Completed","Not Completed")</f>
        <v>Not Completed</v>
      </c>
      <c r="E135" s="25" t="str">
        <f>IF('Cleaned data'!J95&gt;=15,"Bulk Order",
 IF('Cleaned data'!J95&gt;=5,"Normal Order",
 "Small Order"))</f>
        <v>Bulk Order</v>
      </c>
    </row>
    <row r="136" spans="1:5" x14ac:dyDescent="0.35">
      <c r="A136" s="25" t="s">
        <v>218</v>
      </c>
      <c r="B136" s="26" t="str">
        <f>IF(AND('Cleaned data'!S96&gt;2000,'Cleaned data'!U96&gt;0),"High Value","Normal")</f>
        <v>Normal</v>
      </c>
      <c r="C136" s="25" t="str">
        <f>IF(OR('Cleaned data'!O96&gt;0.3,'Cleaned data'!J96&lt;2),"Risky","Safe")</f>
        <v>Safe</v>
      </c>
      <c r="D136" s="25" t="str">
        <f>IF('Cleaned data'!R96="Delivered","Completed","Not Completed")</f>
        <v>Not Completed</v>
      </c>
      <c r="E136" s="25" t="str">
        <f>IF('Cleaned data'!J96&gt;=15,"Bulk Order",
 IF('Cleaned data'!J96&gt;=5,"Normal Order",
 "Small Order"))</f>
        <v>Normal Order</v>
      </c>
    </row>
    <row r="137" spans="1:5" x14ac:dyDescent="0.35">
      <c r="A137" s="25" t="s">
        <v>219</v>
      </c>
      <c r="B137" s="26" t="str">
        <f>IF(AND('Cleaned data'!S97&gt;2000,'Cleaned data'!U97&gt;0),"High Value","Normal")</f>
        <v>High Value</v>
      </c>
      <c r="C137" s="25" t="str">
        <f>IF(OR('Cleaned data'!O97&gt;0.3,'Cleaned data'!J97&lt;2),"Risky","Safe")</f>
        <v>Safe</v>
      </c>
      <c r="D137" s="25" t="str">
        <f>IF('Cleaned data'!R97="Delivered","Completed","Not Completed")</f>
        <v>Not Completed</v>
      </c>
      <c r="E137" s="25" t="str">
        <f>IF('Cleaned data'!J97&gt;=15,"Bulk Order",
 IF('Cleaned data'!J97&gt;=5,"Normal Order",
 "Small Order"))</f>
        <v>Bulk Order</v>
      </c>
    </row>
    <row r="138" spans="1:5" x14ac:dyDescent="0.35">
      <c r="A138" s="25" t="s">
        <v>221</v>
      </c>
      <c r="B138" s="26" t="str">
        <f>IF(AND('Cleaned data'!S98&gt;2000,'Cleaned data'!U98&gt;0),"High Value","Normal")</f>
        <v>High Value</v>
      </c>
      <c r="C138" s="25" t="str">
        <f>IF(OR('Cleaned data'!O98&gt;0.3,'Cleaned data'!J98&lt;2),"Risky","Safe")</f>
        <v>Safe</v>
      </c>
      <c r="D138" s="25" t="str">
        <f>IF('Cleaned data'!R98="Delivered","Completed","Not Completed")</f>
        <v>Not Completed</v>
      </c>
      <c r="E138" s="25" t="str">
        <f>IF('Cleaned data'!J98&gt;=15,"Bulk Order",
 IF('Cleaned data'!J98&gt;=5,"Normal Order",
 "Small Order"))</f>
        <v>Bulk Order</v>
      </c>
    </row>
    <row r="139" spans="1:5" x14ac:dyDescent="0.35">
      <c r="A139" s="25" t="s">
        <v>223</v>
      </c>
      <c r="B139" s="26" t="str">
        <f>IF(AND('Cleaned data'!S99&gt;2000,'Cleaned data'!U99&gt;0),"High Value","Normal")</f>
        <v>Normal</v>
      </c>
      <c r="C139" s="25" t="str">
        <f>IF(OR('Cleaned data'!O99&gt;0.3,'Cleaned data'!J99&lt;2),"Risky","Safe")</f>
        <v>Safe</v>
      </c>
      <c r="D139" s="25" t="str">
        <f>IF('Cleaned data'!R99="Delivered","Completed","Not Completed")</f>
        <v>Completed</v>
      </c>
      <c r="E139" s="25" t="str">
        <f>IF('Cleaned data'!J99&gt;=15,"Bulk Order",
 IF('Cleaned data'!J99&gt;=5,"Normal Order",
 "Small Order"))</f>
        <v>Bulk Order</v>
      </c>
    </row>
    <row r="140" spans="1:5" x14ac:dyDescent="0.35">
      <c r="A140" s="25" t="s">
        <v>225</v>
      </c>
      <c r="B140" s="26" t="str">
        <f>IF(AND('Cleaned data'!S100&gt;2000,'Cleaned data'!U100&gt;0),"High Value","Normal")</f>
        <v>High Value</v>
      </c>
      <c r="C140" s="25" t="str">
        <f>IF(OR('Cleaned data'!O100&gt;0.3,'Cleaned data'!J100&lt;2),"Risky","Safe")</f>
        <v>Safe</v>
      </c>
      <c r="D140" s="25" t="str">
        <f>IF('Cleaned data'!R100="Delivered","Completed","Not Completed")</f>
        <v>Not Completed</v>
      </c>
      <c r="E140" s="25" t="str">
        <f>IF('Cleaned data'!J100&gt;=15,"Bulk Order",
 IF('Cleaned data'!J100&gt;=5,"Normal Order",
 "Small Order"))</f>
        <v>Bulk Order</v>
      </c>
    </row>
    <row r="141" spans="1:5" x14ac:dyDescent="0.35">
      <c r="A141" s="25" t="s">
        <v>226</v>
      </c>
      <c r="B141" s="26" t="str">
        <f>IF(AND('Cleaned data'!S101&gt;2000,'Cleaned data'!U101&gt;0),"High Value","Normal")</f>
        <v>Normal</v>
      </c>
      <c r="C141" s="25" t="str">
        <f>IF(OR('Cleaned data'!O101&gt;0.3,'Cleaned data'!J101&lt;2),"Risky","Safe")</f>
        <v>Safe</v>
      </c>
      <c r="D141" s="25" t="str">
        <f>IF('Cleaned data'!R101="Delivered","Completed","Not Completed")</f>
        <v>Completed</v>
      </c>
      <c r="E141" s="25" t="str">
        <f>IF('Cleaned data'!J101&gt;=15,"Bulk Order",
 IF('Cleaned data'!J101&gt;=5,"Normal Order",
 "Small Order"))</f>
        <v>Bulk Order</v>
      </c>
    </row>
    <row r="142" spans="1:5" x14ac:dyDescent="0.35">
      <c r="A142" s="25" t="s">
        <v>227</v>
      </c>
      <c r="B142" s="26" t="str">
        <f>IF(AND('Cleaned data'!S102&gt;2000,'Cleaned data'!U102&gt;0),"High Value","Normal")</f>
        <v>High Value</v>
      </c>
      <c r="C142" s="25" t="str">
        <f>IF(OR('Cleaned data'!O102&gt;0.3,'Cleaned data'!J102&lt;2),"Risky","Safe")</f>
        <v>Safe</v>
      </c>
      <c r="D142" s="25" t="str">
        <f>IF('Cleaned data'!R102="Delivered","Completed","Not Completed")</f>
        <v>Completed</v>
      </c>
      <c r="E142" s="25" t="str">
        <f>IF('Cleaned data'!J102&gt;=15,"Bulk Order",
 IF('Cleaned data'!J102&gt;=5,"Normal Order",
 "Small Order"))</f>
        <v>Bulk Order</v>
      </c>
    </row>
    <row r="143" spans="1:5" x14ac:dyDescent="0.35">
      <c r="A143" s="25" t="s">
        <v>229</v>
      </c>
      <c r="B143" s="26" t="str">
        <f>IF(AND('Cleaned data'!S103&gt;2000,'Cleaned data'!U103&gt;0),"High Value","Normal")</f>
        <v>Normal</v>
      </c>
      <c r="C143" s="25" t="str">
        <f>IF(OR('Cleaned data'!O103&gt;0.3,'Cleaned data'!J103&lt;2),"Risky","Safe")</f>
        <v>Safe</v>
      </c>
      <c r="D143" s="25" t="str">
        <f>IF('Cleaned data'!R103="Delivered","Completed","Not Completed")</f>
        <v>Not Completed</v>
      </c>
      <c r="E143" s="25" t="str">
        <f>IF('Cleaned data'!J103&gt;=15,"Bulk Order",
 IF('Cleaned data'!J103&gt;=5,"Normal Order",
 "Small Order"))</f>
        <v>Bulk Order</v>
      </c>
    </row>
    <row r="144" spans="1:5" x14ac:dyDescent="0.35">
      <c r="A144" s="25" t="s">
        <v>230</v>
      </c>
      <c r="B144" s="26" t="str">
        <f>IF(AND('Cleaned data'!S104&gt;2000,'Cleaned data'!U104&gt;0),"High Value","Normal")</f>
        <v>Normal</v>
      </c>
      <c r="C144" s="25" t="str">
        <f>IF(OR('Cleaned data'!O104&gt;0.3,'Cleaned data'!J104&lt;2),"Risky","Safe")</f>
        <v>Safe</v>
      </c>
      <c r="D144" s="25" t="str">
        <f>IF('Cleaned data'!R104="Delivered","Completed","Not Completed")</f>
        <v>Completed</v>
      </c>
      <c r="E144" s="25" t="str">
        <f>IF('Cleaned data'!J104&gt;=15,"Bulk Order",
 IF('Cleaned data'!J104&gt;=5,"Normal Order",
 "Small Order"))</f>
        <v>Bulk Order</v>
      </c>
    </row>
    <row r="145" spans="1:5" x14ac:dyDescent="0.35">
      <c r="A145" s="25" t="s">
        <v>232</v>
      </c>
      <c r="B145" s="26" t="str">
        <f>IF(AND('Cleaned data'!S105&gt;2000,'Cleaned data'!U105&gt;0),"High Value","Normal")</f>
        <v>High Value</v>
      </c>
      <c r="C145" s="25" t="str">
        <f>IF(OR('Cleaned data'!O105&gt;0.3,'Cleaned data'!J105&lt;2),"Risky","Safe")</f>
        <v>Safe</v>
      </c>
      <c r="D145" s="25" t="str">
        <f>IF('Cleaned data'!R105="Delivered","Completed","Not Completed")</f>
        <v>Completed</v>
      </c>
      <c r="E145" s="25" t="str">
        <f>IF('Cleaned data'!J105&gt;=15,"Bulk Order",
 IF('Cleaned data'!J105&gt;=5,"Normal Order",
 "Small Order"))</f>
        <v>Bulk Order</v>
      </c>
    </row>
    <row r="146" spans="1:5" x14ac:dyDescent="0.35">
      <c r="A146" s="25" t="s">
        <v>233</v>
      </c>
      <c r="B146" s="26" t="str">
        <f>IF(AND('Cleaned data'!S106&gt;2000,'Cleaned data'!U106&gt;0),"High Value","Normal")</f>
        <v>Normal</v>
      </c>
      <c r="C146" s="25" t="str">
        <f>IF(OR('Cleaned data'!O106&gt;0.3,'Cleaned data'!J106&lt;2),"Risky","Safe")</f>
        <v>Safe</v>
      </c>
      <c r="D146" s="25" t="str">
        <f>IF('Cleaned data'!R106="Delivered","Completed","Not Completed")</f>
        <v>Not Completed</v>
      </c>
      <c r="E146" s="25" t="str">
        <f>IF('Cleaned data'!J106&gt;=15,"Bulk Order",
 IF('Cleaned data'!J106&gt;=5,"Normal Order",
 "Small Order"))</f>
        <v>Bulk Order</v>
      </c>
    </row>
    <row r="147" spans="1:5" x14ac:dyDescent="0.35">
      <c r="A147" s="25" t="s">
        <v>234</v>
      </c>
      <c r="B147" s="26" t="str">
        <f>IF(AND('Cleaned data'!S107&gt;2000,'Cleaned data'!U107&gt;0),"High Value","Normal")</f>
        <v>Normal</v>
      </c>
      <c r="C147" s="25" t="str">
        <f>IF(OR('Cleaned data'!O107&gt;0.3,'Cleaned data'!J107&lt;2),"Risky","Safe")</f>
        <v>Risky</v>
      </c>
      <c r="D147" s="25" t="str">
        <f>IF('Cleaned data'!R107="Delivered","Completed","Not Completed")</f>
        <v>Completed</v>
      </c>
      <c r="E147" s="25" t="str">
        <f>IF('Cleaned data'!J107&gt;=15,"Bulk Order",
 IF('Cleaned data'!J107&gt;=5,"Normal Order",
 "Small Order"))</f>
        <v>Small Order</v>
      </c>
    </row>
    <row r="148" spans="1:5" x14ac:dyDescent="0.35">
      <c r="A148" s="25" t="s">
        <v>236</v>
      </c>
      <c r="B148" s="26" t="str">
        <f>IF(AND('Cleaned data'!S108&gt;2000,'Cleaned data'!U108&gt;0),"High Value","Normal")</f>
        <v>High Value</v>
      </c>
      <c r="C148" s="25" t="str">
        <f>IF(OR('Cleaned data'!O108&gt;0.3,'Cleaned data'!J108&lt;2),"Risky","Safe")</f>
        <v>Safe</v>
      </c>
      <c r="D148" s="25" t="str">
        <f>IF('Cleaned data'!R108="Delivered","Completed","Not Completed")</f>
        <v>Not Completed</v>
      </c>
      <c r="E148" s="25" t="str">
        <f>IF('Cleaned data'!J108&gt;=15,"Bulk Order",
 IF('Cleaned data'!J108&gt;=5,"Normal Order",
 "Small Order"))</f>
        <v>Bulk Order</v>
      </c>
    </row>
    <row r="149" spans="1:5" x14ac:dyDescent="0.35">
      <c r="A149" s="25" t="s">
        <v>237</v>
      </c>
      <c r="B149" s="26" t="str">
        <f>IF(AND('Cleaned data'!S109&gt;2000,'Cleaned data'!U109&gt;0),"High Value","Normal")</f>
        <v>High Value</v>
      </c>
      <c r="C149" s="25" t="str">
        <f>IF(OR('Cleaned data'!O109&gt;0.3,'Cleaned data'!J109&lt;2),"Risky","Safe")</f>
        <v>Safe</v>
      </c>
      <c r="D149" s="25" t="str">
        <f>IF('Cleaned data'!R109="Delivered","Completed","Not Completed")</f>
        <v>Not Completed</v>
      </c>
      <c r="E149" s="25" t="str">
        <f>IF('Cleaned data'!J109&gt;=15,"Bulk Order",
 IF('Cleaned data'!J109&gt;=5,"Normal Order",
 "Small Order"))</f>
        <v>Bulk Order</v>
      </c>
    </row>
    <row r="150" spans="1:5" x14ac:dyDescent="0.35">
      <c r="A150" s="25" t="s">
        <v>238</v>
      </c>
      <c r="B150" s="26" t="str">
        <f>IF(AND('Cleaned data'!S110&gt;2000,'Cleaned data'!U110&gt;0),"High Value","Normal")</f>
        <v>High Value</v>
      </c>
      <c r="C150" s="25" t="str">
        <f>IF(OR('Cleaned data'!O110&gt;0.3,'Cleaned data'!J110&lt;2),"Risky","Safe")</f>
        <v>Safe</v>
      </c>
      <c r="D150" s="25" t="str">
        <f>IF('Cleaned data'!R110="Delivered","Completed","Not Completed")</f>
        <v>Not Completed</v>
      </c>
      <c r="E150" s="25" t="str">
        <f>IF('Cleaned data'!J110&gt;=15,"Bulk Order",
 IF('Cleaned data'!J110&gt;=5,"Normal Order",
 "Small Order"))</f>
        <v>Bulk Order</v>
      </c>
    </row>
    <row r="151" spans="1:5" x14ac:dyDescent="0.35">
      <c r="A151" s="25" t="s">
        <v>240</v>
      </c>
      <c r="B151" s="26" t="str">
        <f>IF(AND('Cleaned data'!S111&gt;2000,'Cleaned data'!U111&gt;0),"High Value","Normal")</f>
        <v>High Value</v>
      </c>
      <c r="C151" s="25" t="str">
        <f>IF(OR('Cleaned data'!O111&gt;0.3,'Cleaned data'!J111&lt;2),"Risky","Safe")</f>
        <v>Safe</v>
      </c>
      <c r="D151" s="25" t="str">
        <f>IF('Cleaned data'!R111="Delivered","Completed","Not Completed")</f>
        <v>Not Completed</v>
      </c>
      <c r="E151" s="25" t="str">
        <f>IF('Cleaned data'!J111&gt;=15,"Bulk Order",
 IF('Cleaned data'!J111&gt;=5,"Normal Order",
 "Small Order"))</f>
        <v>Bulk Order</v>
      </c>
    </row>
    <row r="152" spans="1:5" x14ac:dyDescent="0.35">
      <c r="A152" s="25" t="s">
        <v>242</v>
      </c>
      <c r="B152" s="26" t="str">
        <f>IF(AND('Cleaned data'!S112&gt;2000,'Cleaned data'!U112&gt;0),"High Value","Normal")</f>
        <v>High Value</v>
      </c>
      <c r="C152" s="25" t="str">
        <f>IF(OR('Cleaned data'!O112&gt;0.3,'Cleaned data'!J112&lt;2),"Risky","Safe")</f>
        <v>Safe</v>
      </c>
      <c r="D152" s="25" t="str">
        <f>IF('Cleaned data'!R112="Delivered","Completed","Not Completed")</f>
        <v>Not Completed</v>
      </c>
      <c r="E152" s="25" t="str">
        <f>IF('Cleaned data'!J112&gt;=15,"Bulk Order",
 IF('Cleaned data'!J112&gt;=5,"Normal Order",
 "Small Order"))</f>
        <v>Bulk Order</v>
      </c>
    </row>
    <row r="153" spans="1:5" x14ac:dyDescent="0.35">
      <c r="A153" s="25" t="s">
        <v>243</v>
      </c>
      <c r="B153" s="26" t="str">
        <f>IF(AND('Cleaned data'!S113&gt;2000,'Cleaned data'!U113&gt;0),"High Value","Normal")</f>
        <v>Normal</v>
      </c>
      <c r="C153" s="25" t="str">
        <f>IF(OR('Cleaned data'!O113&gt;0.3,'Cleaned data'!J113&lt;2),"Risky","Safe")</f>
        <v>Safe</v>
      </c>
      <c r="D153" s="25" t="str">
        <f>IF('Cleaned data'!R113="Delivered","Completed","Not Completed")</f>
        <v>Completed</v>
      </c>
      <c r="E153" s="25" t="str">
        <f>IF('Cleaned data'!J113&gt;=15,"Bulk Order",
 IF('Cleaned data'!J113&gt;=5,"Normal Order",
 "Small Order"))</f>
        <v>Normal Order</v>
      </c>
    </row>
    <row r="154" spans="1:5" x14ac:dyDescent="0.35">
      <c r="A154" s="25" t="s">
        <v>245</v>
      </c>
      <c r="B154" s="26" t="str">
        <f>IF(AND('Cleaned data'!S114&gt;2000,'Cleaned data'!U114&gt;0),"High Value","Normal")</f>
        <v>Normal</v>
      </c>
      <c r="C154" s="25" t="str">
        <f>IF(OR('Cleaned data'!O114&gt;0.3,'Cleaned data'!J114&lt;2),"Risky","Safe")</f>
        <v>Safe</v>
      </c>
      <c r="D154" s="25" t="str">
        <f>IF('Cleaned data'!R114="Delivered","Completed","Not Completed")</f>
        <v>Completed</v>
      </c>
      <c r="E154" s="25" t="str">
        <f>IF('Cleaned data'!J114&gt;=15,"Bulk Order",
 IF('Cleaned data'!J114&gt;=5,"Normal Order",
 "Small Order"))</f>
        <v>Normal Order</v>
      </c>
    </row>
    <row r="155" spans="1:5" x14ac:dyDescent="0.35">
      <c r="A155" s="25" t="s">
        <v>247</v>
      </c>
      <c r="B155" s="26" t="str">
        <f>IF(AND('Cleaned data'!S115&gt;2000,'Cleaned data'!U115&gt;0),"High Value","Normal")</f>
        <v>Normal</v>
      </c>
      <c r="C155" s="25" t="str">
        <f>IF(OR('Cleaned data'!O115&gt;0.3,'Cleaned data'!J115&lt;2),"Risky","Safe")</f>
        <v>Safe</v>
      </c>
      <c r="D155" s="25" t="str">
        <f>IF('Cleaned data'!R115="Delivered","Completed","Not Completed")</f>
        <v>Completed</v>
      </c>
      <c r="E155" s="25" t="str">
        <f>IF('Cleaned data'!J115&gt;=15,"Bulk Order",
 IF('Cleaned data'!J115&gt;=5,"Normal Order",
 "Small Order"))</f>
        <v>Bulk Order</v>
      </c>
    </row>
    <row r="156" spans="1:5" x14ac:dyDescent="0.35">
      <c r="A156" s="25" t="s">
        <v>249</v>
      </c>
      <c r="B156" s="26" t="str">
        <f>IF(AND('Cleaned data'!S116&gt;2000,'Cleaned data'!U116&gt;0),"High Value","Normal")</f>
        <v>High Value</v>
      </c>
      <c r="C156" s="25" t="str">
        <f>IF(OR('Cleaned data'!O116&gt;0.3,'Cleaned data'!J116&lt;2),"Risky","Safe")</f>
        <v>Safe</v>
      </c>
      <c r="D156" s="25" t="str">
        <f>IF('Cleaned data'!R116="Delivered","Completed","Not Completed")</f>
        <v>Not Completed</v>
      </c>
      <c r="E156" s="25" t="str">
        <f>IF('Cleaned data'!J116&gt;=15,"Bulk Order",
 IF('Cleaned data'!J116&gt;=5,"Normal Order",
 "Small Order"))</f>
        <v>Bulk Order</v>
      </c>
    </row>
    <row r="157" spans="1:5" x14ac:dyDescent="0.35">
      <c r="A157" s="25" t="s">
        <v>251</v>
      </c>
      <c r="B157" s="26" t="str">
        <f>IF(AND('Cleaned data'!S117&gt;2000,'Cleaned data'!U117&gt;0),"High Value","Normal")</f>
        <v>High Value</v>
      </c>
      <c r="C157" s="25" t="str">
        <f>IF(OR('Cleaned data'!O117&gt;0.3,'Cleaned data'!J117&lt;2),"Risky","Safe")</f>
        <v>Safe</v>
      </c>
      <c r="D157" s="25" t="str">
        <f>IF('Cleaned data'!R117="Delivered","Completed","Not Completed")</f>
        <v>Completed</v>
      </c>
      <c r="E157" s="25" t="str">
        <f>IF('Cleaned data'!J117&gt;=15,"Bulk Order",
 IF('Cleaned data'!J117&gt;=5,"Normal Order",
 "Small Order"))</f>
        <v>Small Order</v>
      </c>
    </row>
    <row r="158" spans="1:5" x14ac:dyDescent="0.35">
      <c r="A158" s="25" t="s">
        <v>253</v>
      </c>
      <c r="B158" s="26" t="str">
        <f>IF(AND('Cleaned data'!S118&gt;2000,'Cleaned data'!U118&gt;0),"High Value","Normal")</f>
        <v>Normal</v>
      </c>
      <c r="C158" s="25" t="str">
        <f>IF(OR('Cleaned data'!O118&gt;0.3,'Cleaned data'!J118&lt;2),"Risky","Safe")</f>
        <v>Safe</v>
      </c>
      <c r="D158" s="25" t="str">
        <f>IF('Cleaned data'!R118="Delivered","Completed","Not Completed")</f>
        <v>Not Completed</v>
      </c>
      <c r="E158" s="25" t="str">
        <f>IF('Cleaned data'!J118&gt;=15,"Bulk Order",
 IF('Cleaned data'!J118&gt;=5,"Normal Order",
 "Small Order"))</f>
        <v>Bulk Order</v>
      </c>
    </row>
    <row r="159" spans="1:5" x14ac:dyDescent="0.35">
      <c r="A159" s="25" t="s">
        <v>255</v>
      </c>
      <c r="B159" s="26" t="str">
        <f>IF(AND('Cleaned data'!S119&gt;2000,'Cleaned data'!U119&gt;0),"High Value","Normal")</f>
        <v>High Value</v>
      </c>
      <c r="C159" s="25" t="str">
        <f>IF(OR('Cleaned data'!O119&gt;0.3,'Cleaned data'!J119&lt;2),"Risky","Safe")</f>
        <v>Safe</v>
      </c>
      <c r="D159" s="25" t="str">
        <f>IF('Cleaned data'!R119="Delivered","Completed","Not Completed")</f>
        <v>Completed</v>
      </c>
      <c r="E159" s="25" t="str">
        <f>IF('Cleaned data'!J119&gt;=15,"Bulk Order",
 IF('Cleaned data'!J119&gt;=5,"Normal Order",
 "Small Order"))</f>
        <v>Bulk Order</v>
      </c>
    </row>
    <row r="160" spans="1:5" x14ac:dyDescent="0.35">
      <c r="A160" s="25" t="s">
        <v>256</v>
      </c>
      <c r="B160" s="26" t="str">
        <f>IF(AND('Cleaned data'!S120&gt;2000,'Cleaned data'!U120&gt;0),"High Value","Normal")</f>
        <v>High Value</v>
      </c>
      <c r="C160" s="25" t="str">
        <f>IF(OR('Cleaned data'!O120&gt;0.3,'Cleaned data'!J120&lt;2),"Risky","Safe")</f>
        <v>Safe</v>
      </c>
      <c r="D160" s="25" t="str">
        <f>IF('Cleaned data'!R120="Delivered","Completed","Not Completed")</f>
        <v>Not Completed</v>
      </c>
      <c r="E160" s="25" t="str">
        <f>IF('Cleaned data'!J120&gt;=15,"Bulk Order",
 IF('Cleaned data'!J120&gt;=5,"Normal Order",
 "Small Order"))</f>
        <v>Bulk Order</v>
      </c>
    </row>
    <row r="161" spans="1:5" x14ac:dyDescent="0.35">
      <c r="A161" s="25" t="s">
        <v>257</v>
      </c>
      <c r="B161" s="26" t="str">
        <f>IF(AND('Cleaned data'!S121&gt;2000,'Cleaned data'!U121&gt;0),"High Value","Normal")</f>
        <v>Normal</v>
      </c>
      <c r="C161" s="25" t="str">
        <f>IF(OR('Cleaned data'!O121&gt;0.3,'Cleaned data'!J121&lt;2),"Risky","Safe")</f>
        <v>Safe</v>
      </c>
      <c r="D161" s="25" t="str">
        <f>IF('Cleaned data'!R121="Delivered","Completed","Not Completed")</f>
        <v>Not Completed</v>
      </c>
      <c r="E161" s="25" t="str">
        <f>IF('Cleaned data'!J121&gt;=15,"Bulk Order",
 IF('Cleaned data'!J121&gt;=5,"Normal Order",
 "Small Order"))</f>
        <v>Normal Order</v>
      </c>
    </row>
    <row r="162" spans="1:5" x14ac:dyDescent="0.35">
      <c r="A162" s="25" t="s">
        <v>258</v>
      </c>
      <c r="B162" s="26" t="str">
        <f>IF(AND('Cleaned data'!S122&gt;2000,'Cleaned data'!U122&gt;0),"High Value","Normal")</f>
        <v>Normal</v>
      </c>
      <c r="C162" s="25" t="str">
        <f>IF(OR('Cleaned data'!O122&gt;0.3,'Cleaned data'!J122&lt;2),"Risky","Safe")</f>
        <v>Safe</v>
      </c>
      <c r="D162" s="25" t="str">
        <f>IF('Cleaned data'!R122="Delivered","Completed","Not Completed")</f>
        <v>Not Completed</v>
      </c>
      <c r="E162" s="25" t="str">
        <f>IF('Cleaned data'!J122&gt;=15,"Bulk Order",
 IF('Cleaned data'!J122&gt;=5,"Normal Order",
 "Small Order"))</f>
        <v>Bulk Order</v>
      </c>
    </row>
    <row r="163" spans="1:5" x14ac:dyDescent="0.35">
      <c r="A163" s="25" t="s">
        <v>259</v>
      </c>
      <c r="B163" s="26" t="str">
        <f>IF(AND('Cleaned data'!S123&gt;2000,'Cleaned data'!U123&gt;0),"High Value","Normal")</f>
        <v>Normal</v>
      </c>
      <c r="C163" s="25" t="str">
        <f>IF(OR('Cleaned data'!O123&gt;0.3,'Cleaned data'!J123&lt;2),"Risky","Safe")</f>
        <v>Safe</v>
      </c>
      <c r="D163" s="25" t="str">
        <f>IF('Cleaned data'!R123="Delivered","Completed","Not Completed")</f>
        <v>Completed</v>
      </c>
      <c r="E163" s="25" t="str">
        <f>IF('Cleaned data'!J123&gt;=15,"Bulk Order",
 IF('Cleaned data'!J123&gt;=5,"Normal Order",
 "Small Order"))</f>
        <v>Bulk Order</v>
      </c>
    </row>
    <row r="164" spans="1:5" x14ac:dyDescent="0.35">
      <c r="A164" s="25" t="s">
        <v>261</v>
      </c>
      <c r="B164" s="26" t="str">
        <f>IF(AND('Cleaned data'!S124&gt;2000,'Cleaned data'!U124&gt;0),"High Value","Normal")</f>
        <v>High Value</v>
      </c>
      <c r="C164" s="25" t="str">
        <f>IF(OR('Cleaned data'!O124&gt;0.3,'Cleaned data'!J124&lt;2),"Risky","Safe")</f>
        <v>Safe</v>
      </c>
      <c r="D164" s="25" t="str">
        <f>IF('Cleaned data'!R124="Delivered","Completed","Not Completed")</f>
        <v>Not Completed</v>
      </c>
      <c r="E164" s="25" t="str">
        <f>IF('Cleaned data'!J124&gt;=15,"Bulk Order",
 IF('Cleaned data'!J124&gt;=5,"Normal Order",
 "Small Order"))</f>
        <v>Normal Order</v>
      </c>
    </row>
    <row r="165" spans="1:5" x14ac:dyDescent="0.35">
      <c r="A165" s="25" t="s">
        <v>263</v>
      </c>
      <c r="B165" s="26" t="str">
        <f>IF(AND('Cleaned data'!S125&gt;2000,'Cleaned data'!U125&gt;0),"High Value","Normal")</f>
        <v>Normal</v>
      </c>
      <c r="C165" s="25" t="str">
        <f>IF(OR('Cleaned data'!O125&gt;0.3,'Cleaned data'!J125&lt;2),"Risky","Safe")</f>
        <v>Safe</v>
      </c>
      <c r="D165" s="25" t="str">
        <f>IF('Cleaned data'!R125="Delivered","Completed","Not Completed")</f>
        <v>Not Completed</v>
      </c>
      <c r="E165" s="25" t="str">
        <f>IF('Cleaned data'!J125&gt;=15,"Bulk Order",
 IF('Cleaned data'!J125&gt;=5,"Normal Order",
 "Small Order"))</f>
        <v>Bulk Order</v>
      </c>
    </row>
    <row r="166" spans="1:5" x14ac:dyDescent="0.35">
      <c r="A166" s="25" t="s">
        <v>265</v>
      </c>
      <c r="B166" s="26" t="str">
        <f>IF(AND('Cleaned data'!S126&gt;2000,'Cleaned data'!U126&gt;0),"High Value","Normal")</f>
        <v>Normal</v>
      </c>
      <c r="C166" s="25" t="str">
        <f>IF(OR('Cleaned data'!O126&gt;0.3,'Cleaned data'!J126&lt;2),"Risky","Safe")</f>
        <v>Safe</v>
      </c>
      <c r="D166" s="25" t="str">
        <f>IF('Cleaned data'!R126="Delivered","Completed","Not Completed")</f>
        <v>Not Completed</v>
      </c>
      <c r="E166" s="25" t="str">
        <f>IF('Cleaned data'!J126&gt;=15,"Bulk Order",
 IF('Cleaned data'!J126&gt;=5,"Normal Order",
 "Small Order"))</f>
        <v>Bulk Order</v>
      </c>
    </row>
    <row r="167" spans="1:5" x14ac:dyDescent="0.35">
      <c r="A167" s="25" t="s">
        <v>267</v>
      </c>
      <c r="B167" s="26" t="str">
        <f>IF(AND('Cleaned data'!S127&gt;2000,'Cleaned data'!U127&gt;0),"High Value","Normal")</f>
        <v>High Value</v>
      </c>
      <c r="C167" s="25" t="str">
        <f>IF(OR('Cleaned data'!O127&gt;0.3,'Cleaned data'!J127&lt;2),"Risky","Safe")</f>
        <v>Safe</v>
      </c>
      <c r="D167" s="25" t="str">
        <f>IF('Cleaned data'!R127="Delivered","Completed","Not Completed")</f>
        <v>Not Completed</v>
      </c>
      <c r="E167" s="25" t="str">
        <f>IF('Cleaned data'!J127&gt;=15,"Bulk Order",
 IF('Cleaned data'!J127&gt;=5,"Normal Order",
 "Small Order"))</f>
        <v>Normal Order</v>
      </c>
    </row>
    <row r="168" spans="1:5" x14ac:dyDescent="0.35">
      <c r="A168" s="25" t="s">
        <v>268</v>
      </c>
      <c r="B168" s="26" t="str">
        <f>IF(AND('Cleaned data'!S128&gt;2000,'Cleaned data'!U128&gt;0),"High Value","Normal")</f>
        <v>Normal</v>
      </c>
      <c r="C168" s="25" t="str">
        <f>IF(OR('Cleaned data'!O128&gt;0.3,'Cleaned data'!J128&lt;2),"Risky","Safe")</f>
        <v>Safe</v>
      </c>
      <c r="D168" s="25" t="str">
        <f>IF('Cleaned data'!R128="Delivered","Completed","Not Completed")</f>
        <v>Completed</v>
      </c>
      <c r="E168" s="25" t="str">
        <f>IF('Cleaned data'!J128&gt;=15,"Bulk Order",
 IF('Cleaned data'!J128&gt;=5,"Normal Order",
 "Small Order"))</f>
        <v>Bulk Order</v>
      </c>
    </row>
    <row r="169" spans="1:5" x14ac:dyDescent="0.35">
      <c r="A169" s="25" t="s">
        <v>269</v>
      </c>
      <c r="B169" s="26" t="str">
        <f>IF(AND('Cleaned data'!S129&gt;2000,'Cleaned data'!U129&gt;0),"High Value","Normal")</f>
        <v>High Value</v>
      </c>
      <c r="C169" s="25" t="str">
        <f>IF(OR('Cleaned data'!O129&gt;0.3,'Cleaned data'!J129&lt;2),"Risky","Safe")</f>
        <v>Safe</v>
      </c>
      <c r="D169" s="25" t="str">
        <f>IF('Cleaned data'!R129="Delivered","Completed","Not Completed")</f>
        <v>Not Completed</v>
      </c>
      <c r="E169" s="25" t="str">
        <f>IF('Cleaned data'!J129&gt;=15,"Bulk Order",
 IF('Cleaned data'!J129&gt;=5,"Normal Order",
 "Small Order"))</f>
        <v>Bulk Order</v>
      </c>
    </row>
    <row r="170" spans="1:5" x14ac:dyDescent="0.35">
      <c r="A170" s="25" t="s">
        <v>271</v>
      </c>
      <c r="B170" s="26" t="str">
        <f>IF(AND('Cleaned data'!S130&gt;2000,'Cleaned data'!U130&gt;0),"High Value","Normal")</f>
        <v>Normal</v>
      </c>
      <c r="C170" s="25" t="str">
        <f>IF(OR('Cleaned data'!O130&gt;0.3,'Cleaned data'!J130&lt;2),"Risky","Safe")</f>
        <v>Safe</v>
      </c>
      <c r="D170" s="25" t="str">
        <f>IF('Cleaned data'!R130="Delivered","Completed","Not Completed")</f>
        <v>Completed</v>
      </c>
      <c r="E170" s="25" t="str">
        <f>IF('Cleaned data'!J130&gt;=15,"Bulk Order",
 IF('Cleaned data'!J130&gt;=5,"Normal Order",
 "Small Order"))</f>
        <v>Bulk Order</v>
      </c>
    </row>
    <row r="171" spans="1:5" x14ac:dyDescent="0.35">
      <c r="A171" s="25" t="s">
        <v>273</v>
      </c>
      <c r="B171" s="26" t="str">
        <f>IF(AND('Cleaned data'!S131&gt;2000,'Cleaned data'!U131&gt;0),"High Value","Normal")</f>
        <v>High Value</v>
      </c>
      <c r="C171" s="25" t="str">
        <f>IF(OR('Cleaned data'!O131&gt;0.3,'Cleaned data'!J131&lt;2),"Risky","Safe")</f>
        <v>Safe</v>
      </c>
      <c r="D171" s="25" t="str">
        <f>IF('Cleaned data'!R131="Delivered","Completed","Not Completed")</f>
        <v>Completed</v>
      </c>
      <c r="E171" s="25" t="str">
        <f>IF('Cleaned data'!J131&gt;=15,"Bulk Order",
 IF('Cleaned data'!J131&gt;=5,"Normal Order",
 "Small Order"))</f>
        <v>Small Order</v>
      </c>
    </row>
    <row r="172" spans="1:5" x14ac:dyDescent="0.35">
      <c r="A172" s="25" t="s">
        <v>275</v>
      </c>
      <c r="B172" s="26" t="str">
        <f>IF(AND('Cleaned data'!S132&gt;2000,'Cleaned data'!U132&gt;0),"High Value","Normal")</f>
        <v>Normal</v>
      </c>
      <c r="C172" s="25" t="str">
        <f>IF(OR('Cleaned data'!O132&gt;0.3,'Cleaned data'!J132&lt;2),"Risky","Safe")</f>
        <v>Safe</v>
      </c>
      <c r="D172" s="25" t="str">
        <f>IF('Cleaned data'!R132="Delivered","Completed","Not Completed")</f>
        <v>Completed</v>
      </c>
      <c r="E172" s="25" t="str">
        <f>IF('Cleaned data'!J132&gt;=15,"Bulk Order",
 IF('Cleaned data'!J132&gt;=5,"Normal Order",
 "Small Order"))</f>
        <v>Bulk Order</v>
      </c>
    </row>
    <row r="173" spans="1:5" x14ac:dyDescent="0.35">
      <c r="A173" s="25" t="s">
        <v>276</v>
      </c>
      <c r="B173" s="26" t="str">
        <f>IF(AND('Cleaned data'!S133&gt;2000,'Cleaned data'!U133&gt;0),"High Value","Normal")</f>
        <v>Normal</v>
      </c>
      <c r="C173" s="25" t="str">
        <f>IF(OR('Cleaned data'!O133&gt;0.3,'Cleaned data'!J133&lt;2),"Risky","Safe")</f>
        <v>Safe</v>
      </c>
      <c r="D173" s="25" t="str">
        <f>IF('Cleaned data'!R133="Delivered","Completed","Not Completed")</f>
        <v>Not Completed</v>
      </c>
      <c r="E173" s="25" t="str">
        <f>IF('Cleaned data'!J133&gt;=15,"Bulk Order",
 IF('Cleaned data'!J133&gt;=5,"Normal Order",
 "Small Order"))</f>
        <v>Bulk Order</v>
      </c>
    </row>
    <row r="174" spans="1:5" x14ac:dyDescent="0.35">
      <c r="A174" s="25" t="s">
        <v>278</v>
      </c>
      <c r="B174" s="26" t="str">
        <f>IF(AND('Cleaned data'!S134&gt;2000,'Cleaned data'!U134&gt;0),"High Value","Normal")</f>
        <v>Normal</v>
      </c>
      <c r="C174" s="25" t="str">
        <f>IF(OR('Cleaned data'!O134&gt;0.3,'Cleaned data'!J134&lt;2),"Risky","Safe")</f>
        <v>Safe</v>
      </c>
      <c r="D174" s="25" t="str">
        <f>IF('Cleaned data'!R134="Delivered","Completed","Not Completed")</f>
        <v>Not Completed</v>
      </c>
      <c r="E174" s="25" t="str">
        <f>IF('Cleaned data'!J134&gt;=15,"Bulk Order",
 IF('Cleaned data'!J134&gt;=5,"Normal Order",
 "Small Order"))</f>
        <v>Normal Order</v>
      </c>
    </row>
    <row r="175" spans="1:5" x14ac:dyDescent="0.35">
      <c r="A175" s="25" t="s">
        <v>279</v>
      </c>
      <c r="B175" s="26" t="str">
        <f>IF(AND('Cleaned data'!S135&gt;2000,'Cleaned data'!U135&gt;0),"High Value","Normal")</f>
        <v>Normal</v>
      </c>
      <c r="C175" s="25" t="str">
        <f>IF(OR('Cleaned data'!O135&gt;0.3,'Cleaned data'!J135&lt;2),"Risky","Safe")</f>
        <v>Safe</v>
      </c>
      <c r="D175" s="25" t="str">
        <f>IF('Cleaned data'!R135="Delivered","Completed","Not Completed")</f>
        <v>Completed</v>
      </c>
      <c r="E175" s="25" t="str">
        <f>IF('Cleaned data'!J135&gt;=15,"Bulk Order",
 IF('Cleaned data'!J135&gt;=5,"Normal Order",
 "Small Order"))</f>
        <v>Bulk Order</v>
      </c>
    </row>
    <row r="176" spans="1:5" x14ac:dyDescent="0.35">
      <c r="A176" s="25" t="s">
        <v>280</v>
      </c>
      <c r="B176" s="26" t="str">
        <f>IF(AND('Cleaned data'!S136&gt;2000,'Cleaned data'!U136&gt;0),"High Value","Normal")</f>
        <v>Normal</v>
      </c>
      <c r="C176" s="25" t="str">
        <f>IF(OR('Cleaned data'!O136&gt;0.3,'Cleaned data'!J136&lt;2),"Risky","Safe")</f>
        <v>Safe</v>
      </c>
      <c r="D176" s="25" t="str">
        <f>IF('Cleaned data'!R136="Delivered","Completed","Not Completed")</f>
        <v>Not Completed</v>
      </c>
      <c r="E176" s="25" t="str">
        <f>IF('Cleaned data'!J136&gt;=15,"Bulk Order",
 IF('Cleaned data'!J136&gt;=5,"Normal Order",
 "Small Order"))</f>
        <v>Bulk Order</v>
      </c>
    </row>
    <row r="177" spans="1:5" x14ac:dyDescent="0.35">
      <c r="A177" s="25" t="s">
        <v>281</v>
      </c>
      <c r="B177" s="26" t="str">
        <f>IF(AND('Cleaned data'!S137&gt;2000,'Cleaned data'!U137&gt;0),"High Value","Normal")</f>
        <v>High Value</v>
      </c>
      <c r="C177" s="25" t="str">
        <f>IF(OR('Cleaned data'!O137&gt;0.3,'Cleaned data'!J137&lt;2),"Risky","Safe")</f>
        <v>Safe</v>
      </c>
      <c r="D177" s="25" t="str">
        <f>IF('Cleaned data'!R137="Delivered","Completed","Not Completed")</f>
        <v>Completed</v>
      </c>
      <c r="E177" s="25" t="str">
        <f>IF('Cleaned data'!J137&gt;=15,"Bulk Order",
 IF('Cleaned data'!J137&gt;=5,"Normal Order",
 "Small Order"))</f>
        <v>Bulk Order</v>
      </c>
    </row>
    <row r="178" spans="1:5" x14ac:dyDescent="0.35">
      <c r="A178" s="25" t="s">
        <v>283</v>
      </c>
      <c r="B178" s="26" t="str">
        <f>IF(AND('Cleaned data'!S138&gt;2000,'Cleaned data'!U138&gt;0),"High Value","Normal")</f>
        <v>High Value</v>
      </c>
      <c r="C178" s="25" t="str">
        <f>IF(OR('Cleaned data'!O138&gt;0.3,'Cleaned data'!J138&lt;2),"Risky","Safe")</f>
        <v>Safe</v>
      </c>
      <c r="D178" s="25" t="str">
        <f>IF('Cleaned data'!R138="Delivered","Completed","Not Completed")</f>
        <v>Not Completed</v>
      </c>
      <c r="E178" s="25" t="str">
        <f>IF('Cleaned data'!J138&gt;=15,"Bulk Order",
 IF('Cleaned data'!J138&gt;=5,"Normal Order",
 "Small Order"))</f>
        <v>Normal Order</v>
      </c>
    </row>
    <row r="179" spans="1:5" x14ac:dyDescent="0.35">
      <c r="A179" s="25" t="s">
        <v>284</v>
      </c>
      <c r="B179" s="26" t="str">
        <f>IF(AND('Cleaned data'!S139&gt;2000,'Cleaned data'!U139&gt;0),"High Value","Normal")</f>
        <v>High Value</v>
      </c>
      <c r="C179" s="25" t="str">
        <f>IF(OR('Cleaned data'!O139&gt;0.3,'Cleaned data'!J139&lt;2),"Risky","Safe")</f>
        <v>Safe</v>
      </c>
      <c r="D179" s="25" t="str">
        <f>IF('Cleaned data'!R139="Delivered","Completed","Not Completed")</f>
        <v>Not Completed</v>
      </c>
      <c r="E179" s="25" t="str">
        <f>IF('Cleaned data'!J139&gt;=15,"Bulk Order",
 IF('Cleaned data'!J139&gt;=5,"Normal Order",
 "Small Order"))</f>
        <v>Bulk Order</v>
      </c>
    </row>
    <row r="180" spans="1:5" x14ac:dyDescent="0.35">
      <c r="A180" s="25" t="s">
        <v>285</v>
      </c>
      <c r="B180" s="26" t="str">
        <f>IF(AND('Cleaned data'!S140&gt;2000,'Cleaned data'!U140&gt;0),"High Value","Normal")</f>
        <v>Normal</v>
      </c>
      <c r="C180" s="25" t="str">
        <f>IF(OR('Cleaned data'!O140&gt;0.3,'Cleaned data'!J140&lt;2),"Risky","Safe")</f>
        <v>Safe</v>
      </c>
      <c r="D180" s="25" t="str">
        <f>IF('Cleaned data'!R140="Delivered","Completed","Not Completed")</f>
        <v>Completed</v>
      </c>
      <c r="E180" s="25" t="str">
        <f>IF('Cleaned data'!J140&gt;=15,"Bulk Order",
 IF('Cleaned data'!J140&gt;=5,"Normal Order",
 "Small Order"))</f>
        <v>Small Order</v>
      </c>
    </row>
    <row r="181" spans="1:5" x14ac:dyDescent="0.35">
      <c r="A181" s="25" t="s">
        <v>286</v>
      </c>
      <c r="B181" s="26" t="str">
        <f>IF(AND('Cleaned data'!S141&gt;2000,'Cleaned data'!U141&gt;0),"High Value","Normal")</f>
        <v>Normal</v>
      </c>
      <c r="C181" s="25" t="str">
        <f>IF(OR('Cleaned data'!O141&gt;0.3,'Cleaned data'!J141&lt;2),"Risky","Safe")</f>
        <v>Safe</v>
      </c>
      <c r="D181" s="25" t="str">
        <f>IF('Cleaned data'!R141="Delivered","Completed","Not Completed")</f>
        <v>Not Completed</v>
      </c>
      <c r="E181" s="25" t="str">
        <f>IF('Cleaned data'!J141&gt;=15,"Bulk Order",
 IF('Cleaned data'!J141&gt;=5,"Normal Order",
 "Small Order"))</f>
        <v>Bulk Order</v>
      </c>
    </row>
    <row r="182" spans="1:5" x14ac:dyDescent="0.35">
      <c r="A182" s="25" t="s">
        <v>288</v>
      </c>
      <c r="B182" s="26" t="str">
        <f>IF(AND('Cleaned data'!S142&gt;2000,'Cleaned data'!U142&gt;0),"High Value","Normal")</f>
        <v>Normal</v>
      </c>
      <c r="C182" s="25" t="str">
        <f>IF(OR('Cleaned data'!O142&gt;0.3,'Cleaned data'!J142&lt;2),"Risky","Safe")</f>
        <v>Safe</v>
      </c>
      <c r="D182" s="25" t="str">
        <f>IF('Cleaned data'!R142="Delivered","Completed","Not Completed")</f>
        <v>Not Completed</v>
      </c>
      <c r="E182" s="25" t="str">
        <f>IF('Cleaned data'!J142&gt;=15,"Bulk Order",
 IF('Cleaned data'!J142&gt;=5,"Normal Order",
 "Small Order"))</f>
        <v>Normal Order</v>
      </c>
    </row>
    <row r="183" spans="1:5" x14ac:dyDescent="0.35">
      <c r="A183" s="25" t="s">
        <v>290</v>
      </c>
      <c r="B183" s="26" t="str">
        <f>IF(AND('Cleaned data'!S143&gt;2000,'Cleaned data'!U143&gt;0),"High Value","Normal")</f>
        <v>Normal</v>
      </c>
      <c r="C183" s="25" t="str">
        <f>IF(OR('Cleaned data'!O143&gt;0.3,'Cleaned data'!J143&lt;2),"Risky","Safe")</f>
        <v>Safe</v>
      </c>
      <c r="D183" s="25" t="str">
        <f>IF('Cleaned data'!R143="Delivered","Completed","Not Completed")</f>
        <v>Not Completed</v>
      </c>
      <c r="E183" s="25" t="str">
        <f>IF('Cleaned data'!J143&gt;=15,"Bulk Order",
 IF('Cleaned data'!J143&gt;=5,"Normal Order",
 "Small Order"))</f>
        <v>Small Order</v>
      </c>
    </row>
    <row r="184" spans="1:5" x14ac:dyDescent="0.35">
      <c r="A184" s="25" t="s">
        <v>291</v>
      </c>
      <c r="B184" s="26" t="str">
        <f>IF(AND('Cleaned data'!S144&gt;2000,'Cleaned data'!U144&gt;0),"High Value","Normal")</f>
        <v>High Value</v>
      </c>
      <c r="C184" s="25" t="str">
        <f>IF(OR('Cleaned data'!O144&gt;0.3,'Cleaned data'!J144&lt;2),"Risky","Safe")</f>
        <v>Safe</v>
      </c>
      <c r="D184" s="25" t="str">
        <f>IF('Cleaned data'!R144="Delivered","Completed","Not Completed")</f>
        <v>Not Completed</v>
      </c>
      <c r="E184" s="25" t="str">
        <f>IF('Cleaned data'!J144&gt;=15,"Bulk Order",
 IF('Cleaned data'!J144&gt;=5,"Normal Order",
 "Small Order"))</f>
        <v>Bulk Order</v>
      </c>
    </row>
    <row r="185" spans="1:5" x14ac:dyDescent="0.35">
      <c r="A185" s="25" t="s">
        <v>293</v>
      </c>
      <c r="B185" s="26" t="str">
        <f>IF(AND('Cleaned data'!S145&gt;2000,'Cleaned data'!U145&gt;0),"High Value","Normal")</f>
        <v>High Value</v>
      </c>
      <c r="C185" s="25" t="str">
        <f>IF(OR('Cleaned data'!O145&gt;0.3,'Cleaned data'!J145&lt;2),"Risky","Safe")</f>
        <v>Safe</v>
      </c>
      <c r="D185" s="25" t="str">
        <f>IF('Cleaned data'!R145="Delivered","Completed","Not Completed")</f>
        <v>Completed</v>
      </c>
      <c r="E185" s="25" t="str">
        <f>IF('Cleaned data'!J145&gt;=15,"Bulk Order",
 IF('Cleaned data'!J145&gt;=5,"Normal Order",
 "Small Order"))</f>
        <v>Bulk Order</v>
      </c>
    </row>
    <row r="186" spans="1:5" x14ac:dyDescent="0.35">
      <c r="A186" s="25" t="s">
        <v>295</v>
      </c>
      <c r="B186" s="26" t="str">
        <f>IF(AND('Cleaned data'!S146&gt;2000,'Cleaned data'!U146&gt;0),"High Value","Normal")</f>
        <v>High Value</v>
      </c>
      <c r="C186" s="25" t="str">
        <f>IF(OR('Cleaned data'!O146&gt;0.3,'Cleaned data'!J146&lt;2),"Risky","Safe")</f>
        <v>Safe</v>
      </c>
      <c r="D186" s="25" t="str">
        <f>IF('Cleaned data'!R146="Delivered","Completed","Not Completed")</f>
        <v>Completed</v>
      </c>
      <c r="E186" s="25" t="str">
        <f>IF('Cleaned data'!J146&gt;=15,"Bulk Order",
 IF('Cleaned data'!J146&gt;=5,"Normal Order",
 "Small Order"))</f>
        <v>Bulk Order</v>
      </c>
    </row>
    <row r="187" spans="1:5" x14ac:dyDescent="0.35">
      <c r="A187" s="25" t="s">
        <v>297</v>
      </c>
      <c r="B187" s="26" t="str">
        <f>IF(AND('Cleaned data'!S147&gt;2000,'Cleaned data'!U147&gt;0),"High Value","Normal")</f>
        <v>Normal</v>
      </c>
      <c r="C187" s="25" t="str">
        <f>IF(OR('Cleaned data'!O147&gt;0.3,'Cleaned data'!J147&lt;2),"Risky","Safe")</f>
        <v>Safe</v>
      </c>
      <c r="D187" s="25" t="str">
        <f>IF('Cleaned data'!R147="Delivered","Completed","Not Completed")</f>
        <v>Completed</v>
      </c>
      <c r="E187" s="25" t="str">
        <f>IF('Cleaned data'!J147&gt;=15,"Bulk Order",
 IF('Cleaned data'!J147&gt;=5,"Normal Order",
 "Small Order"))</f>
        <v>Bulk Order</v>
      </c>
    </row>
    <row r="188" spans="1:5" x14ac:dyDescent="0.35">
      <c r="A188" s="25" t="s">
        <v>299</v>
      </c>
      <c r="B188" s="26" t="str">
        <f>IF(AND('Cleaned data'!S148&gt;2000,'Cleaned data'!U148&gt;0),"High Value","Normal")</f>
        <v>High Value</v>
      </c>
      <c r="C188" s="25" t="str">
        <f>IF(OR('Cleaned data'!O148&gt;0.3,'Cleaned data'!J148&lt;2),"Risky","Safe")</f>
        <v>Safe</v>
      </c>
      <c r="D188" s="25" t="str">
        <f>IF('Cleaned data'!R148="Delivered","Completed","Not Completed")</f>
        <v>Not Completed</v>
      </c>
      <c r="E188" s="25" t="str">
        <f>IF('Cleaned data'!J148&gt;=15,"Bulk Order",
 IF('Cleaned data'!J148&gt;=5,"Normal Order",
 "Small Order"))</f>
        <v>Bulk Order</v>
      </c>
    </row>
    <row r="189" spans="1:5" x14ac:dyDescent="0.35">
      <c r="A189" s="25" t="s">
        <v>300</v>
      </c>
      <c r="B189" s="26" t="str">
        <f>IF(AND('Cleaned data'!S149&gt;2000,'Cleaned data'!U149&gt;0),"High Value","Normal")</f>
        <v>High Value</v>
      </c>
      <c r="C189" s="25" t="str">
        <f>IF(OR('Cleaned data'!O149&gt;0.3,'Cleaned data'!J149&lt;2),"Risky","Safe")</f>
        <v>Safe</v>
      </c>
      <c r="D189" s="25" t="str">
        <f>IF('Cleaned data'!R149="Delivered","Completed","Not Completed")</f>
        <v>Completed</v>
      </c>
      <c r="E189" s="25" t="str">
        <f>IF('Cleaned data'!J149&gt;=15,"Bulk Order",
 IF('Cleaned data'!J149&gt;=5,"Normal Order",
 "Small Order"))</f>
        <v>Normal Order</v>
      </c>
    </row>
    <row r="190" spans="1:5" x14ac:dyDescent="0.35">
      <c r="A190" s="25" t="s">
        <v>301</v>
      </c>
      <c r="B190" s="26" t="str">
        <f>IF(AND('Cleaned data'!S150&gt;2000,'Cleaned data'!U150&gt;0),"High Value","Normal")</f>
        <v>Normal</v>
      </c>
      <c r="C190" s="25" t="str">
        <f>IF(OR('Cleaned data'!O150&gt;0.3,'Cleaned data'!J150&lt;2),"Risky","Safe")</f>
        <v>Safe</v>
      </c>
      <c r="D190" s="25" t="str">
        <f>IF('Cleaned data'!R150="Delivered","Completed","Not Completed")</f>
        <v>Completed</v>
      </c>
      <c r="E190" s="25" t="str">
        <f>IF('Cleaned data'!J150&gt;=15,"Bulk Order",
 IF('Cleaned data'!J150&gt;=5,"Normal Order",
 "Small Order"))</f>
        <v>Bulk Order</v>
      </c>
    </row>
    <row r="191" spans="1:5" x14ac:dyDescent="0.35">
      <c r="A191" s="25" t="s">
        <v>303</v>
      </c>
      <c r="B191" s="26" t="str">
        <f>IF(AND('Cleaned data'!S151&gt;2000,'Cleaned data'!U151&gt;0),"High Value","Normal")</f>
        <v>High Value</v>
      </c>
      <c r="C191" s="25" t="str">
        <f>IF(OR('Cleaned data'!O151&gt;0.3,'Cleaned data'!J151&lt;2),"Risky","Safe")</f>
        <v>Safe</v>
      </c>
      <c r="D191" s="25" t="str">
        <f>IF('Cleaned data'!R151="Delivered","Completed","Not Completed")</f>
        <v>Not Completed</v>
      </c>
      <c r="E191" s="25" t="str">
        <f>IF('Cleaned data'!J151&gt;=15,"Bulk Order",
 IF('Cleaned data'!J151&gt;=5,"Normal Order",
 "Small Order"))</f>
        <v>Bulk Order</v>
      </c>
    </row>
    <row r="192" spans="1:5" x14ac:dyDescent="0.35">
      <c r="A192" s="25" t="s">
        <v>304</v>
      </c>
      <c r="B192" s="26" t="str">
        <f>IF(AND('Cleaned data'!S152&gt;2000,'Cleaned data'!U152&gt;0),"High Value","Normal")</f>
        <v>High Value</v>
      </c>
      <c r="C192" s="25" t="str">
        <f>IF(OR('Cleaned data'!O152&gt;0.3,'Cleaned data'!J152&lt;2),"Risky","Safe")</f>
        <v>Safe</v>
      </c>
      <c r="D192" s="25" t="str">
        <f>IF('Cleaned data'!R152="Delivered","Completed","Not Completed")</f>
        <v>Not Completed</v>
      </c>
      <c r="E192" s="25" t="str">
        <f>IF('Cleaned data'!J152&gt;=15,"Bulk Order",
 IF('Cleaned data'!J152&gt;=5,"Normal Order",
 "Small Order"))</f>
        <v>Bulk Order</v>
      </c>
    </row>
    <row r="193" spans="1:5" x14ac:dyDescent="0.35">
      <c r="A193" s="25" t="s">
        <v>306</v>
      </c>
      <c r="B193" s="26" t="str">
        <f>IF(AND('Cleaned data'!S153&gt;2000,'Cleaned data'!U153&gt;0),"High Value","Normal")</f>
        <v>High Value</v>
      </c>
      <c r="C193" s="25" t="str">
        <f>IF(OR('Cleaned data'!O153&gt;0.3,'Cleaned data'!J153&lt;2),"Risky","Safe")</f>
        <v>Safe</v>
      </c>
      <c r="D193" s="25" t="str">
        <f>IF('Cleaned data'!R153="Delivered","Completed","Not Completed")</f>
        <v>Completed</v>
      </c>
      <c r="E193" s="25" t="str">
        <f>IF('Cleaned data'!J153&gt;=15,"Bulk Order",
 IF('Cleaned data'!J153&gt;=5,"Normal Order",
 "Small Order"))</f>
        <v>Bulk Order</v>
      </c>
    </row>
    <row r="194" spans="1:5" x14ac:dyDescent="0.35">
      <c r="A194" s="25" t="s">
        <v>308</v>
      </c>
      <c r="B194" s="26" t="str">
        <f>IF(AND('Cleaned data'!S154&gt;2000,'Cleaned data'!U154&gt;0),"High Value","Normal")</f>
        <v>Normal</v>
      </c>
      <c r="C194" s="25" t="str">
        <f>IF(OR('Cleaned data'!O154&gt;0.3,'Cleaned data'!J154&lt;2),"Risky","Safe")</f>
        <v>Safe</v>
      </c>
      <c r="D194" s="25" t="str">
        <f>IF('Cleaned data'!R154="Delivered","Completed","Not Completed")</f>
        <v>Completed</v>
      </c>
      <c r="E194" s="25" t="str">
        <f>IF('Cleaned data'!J154&gt;=15,"Bulk Order",
 IF('Cleaned data'!J154&gt;=5,"Normal Order",
 "Small Order"))</f>
        <v>Bulk Order</v>
      </c>
    </row>
    <row r="195" spans="1:5" x14ac:dyDescent="0.35">
      <c r="A195" s="25" t="s">
        <v>310</v>
      </c>
      <c r="B195" s="26" t="str">
        <f>IF(AND('Cleaned data'!S155&gt;2000,'Cleaned data'!U155&gt;0),"High Value","Normal")</f>
        <v>Normal</v>
      </c>
      <c r="C195" s="25" t="str">
        <f>IF(OR('Cleaned data'!O155&gt;0.3,'Cleaned data'!J155&lt;2),"Risky","Safe")</f>
        <v>Safe</v>
      </c>
      <c r="D195" s="25" t="str">
        <f>IF('Cleaned data'!R155="Delivered","Completed","Not Completed")</f>
        <v>Completed</v>
      </c>
      <c r="E195" s="25" t="str">
        <f>IF('Cleaned data'!J155&gt;=15,"Bulk Order",
 IF('Cleaned data'!J155&gt;=5,"Normal Order",
 "Small Order"))</f>
        <v>Bulk Order</v>
      </c>
    </row>
    <row r="196" spans="1:5" x14ac:dyDescent="0.35">
      <c r="A196" s="25" t="s">
        <v>311</v>
      </c>
      <c r="B196" s="26" t="str">
        <f>IF(AND('Cleaned data'!S156&gt;2000,'Cleaned data'!U156&gt;0),"High Value","Normal")</f>
        <v>High Value</v>
      </c>
      <c r="C196" s="25" t="str">
        <f>IF(OR('Cleaned data'!O156&gt;0.3,'Cleaned data'!J156&lt;2),"Risky","Safe")</f>
        <v>Safe</v>
      </c>
      <c r="D196" s="25" t="str">
        <f>IF('Cleaned data'!R156="Delivered","Completed","Not Completed")</f>
        <v>Completed</v>
      </c>
      <c r="E196" s="25" t="str">
        <f>IF('Cleaned data'!J156&gt;=15,"Bulk Order",
 IF('Cleaned data'!J156&gt;=5,"Normal Order",
 "Small Order"))</f>
        <v>Bulk Order</v>
      </c>
    </row>
    <row r="197" spans="1:5" x14ac:dyDescent="0.35">
      <c r="A197" s="25" t="s">
        <v>313</v>
      </c>
      <c r="B197" s="26" t="str">
        <f>IF(AND('Cleaned data'!S157&gt;2000,'Cleaned data'!U157&gt;0),"High Value","Normal")</f>
        <v>Normal</v>
      </c>
      <c r="C197" s="25" t="str">
        <f>IF(OR('Cleaned data'!O157&gt;0.3,'Cleaned data'!J157&lt;2),"Risky","Safe")</f>
        <v>Safe</v>
      </c>
      <c r="D197" s="25" t="str">
        <f>IF('Cleaned data'!R157="Delivered","Completed","Not Completed")</f>
        <v>Not Completed</v>
      </c>
      <c r="E197" s="25" t="str">
        <f>IF('Cleaned data'!J157&gt;=15,"Bulk Order",
 IF('Cleaned data'!J157&gt;=5,"Normal Order",
 "Small Order"))</f>
        <v>Bulk Order</v>
      </c>
    </row>
    <row r="198" spans="1:5" x14ac:dyDescent="0.35">
      <c r="A198" s="25" t="s">
        <v>315</v>
      </c>
      <c r="B198" s="26" t="str">
        <f>IF(AND('Cleaned data'!S158&gt;2000,'Cleaned data'!U158&gt;0),"High Value","Normal")</f>
        <v>Normal</v>
      </c>
      <c r="C198" s="25" t="str">
        <f>IF(OR('Cleaned data'!O158&gt;0.3,'Cleaned data'!J158&lt;2),"Risky","Safe")</f>
        <v>Safe</v>
      </c>
      <c r="D198" s="25" t="str">
        <f>IF('Cleaned data'!R158="Delivered","Completed","Not Completed")</f>
        <v>Not Completed</v>
      </c>
      <c r="E198" s="25" t="str">
        <f>IF('Cleaned data'!J158&gt;=15,"Bulk Order",
 IF('Cleaned data'!J158&gt;=5,"Normal Order",
 "Small Order"))</f>
        <v>Normal Order</v>
      </c>
    </row>
    <row r="199" spans="1:5" x14ac:dyDescent="0.35">
      <c r="A199" s="25" t="s">
        <v>317</v>
      </c>
      <c r="B199" s="26" t="str">
        <f>IF(AND('Cleaned data'!S159&gt;2000,'Cleaned data'!U159&gt;0),"High Value","Normal")</f>
        <v>Normal</v>
      </c>
      <c r="C199" s="25" t="str">
        <f>IF(OR('Cleaned data'!O159&gt;0.3,'Cleaned data'!J159&lt;2),"Risky","Safe")</f>
        <v>Safe</v>
      </c>
      <c r="D199" s="25" t="str">
        <f>IF('Cleaned data'!R159="Delivered","Completed","Not Completed")</f>
        <v>Completed</v>
      </c>
      <c r="E199" s="25" t="str">
        <f>IF('Cleaned data'!J159&gt;=15,"Bulk Order",
 IF('Cleaned data'!J159&gt;=5,"Normal Order",
 "Small Order"))</f>
        <v>Bulk Order</v>
      </c>
    </row>
    <row r="200" spans="1:5" x14ac:dyDescent="0.35">
      <c r="A200" s="25" t="s">
        <v>318</v>
      </c>
      <c r="B200" s="26" t="str">
        <f>IF(AND('Cleaned data'!S160&gt;2000,'Cleaned data'!U160&gt;0),"High Value","Normal")</f>
        <v>Normal</v>
      </c>
      <c r="C200" s="25" t="str">
        <f>IF(OR('Cleaned data'!O160&gt;0.3,'Cleaned data'!J160&lt;2),"Risky","Safe")</f>
        <v>Safe</v>
      </c>
      <c r="D200" s="25" t="str">
        <f>IF('Cleaned data'!R160="Delivered","Completed","Not Completed")</f>
        <v>Not Completed</v>
      </c>
      <c r="E200" s="25" t="str">
        <f>IF('Cleaned data'!J160&gt;=15,"Bulk Order",
 IF('Cleaned data'!J160&gt;=5,"Normal Order",
 "Small Order"))</f>
        <v>Small Order</v>
      </c>
    </row>
    <row r="201" spans="1:5" x14ac:dyDescent="0.35">
      <c r="A201" s="25" t="s">
        <v>319</v>
      </c>
      <c r="B201" s="26" t="str">
        <f>IF(AND('Cleaned data'!S161&gt;2000,'Cleaned data'!U161&gt;0),"High Value","Normal")</f>
        <v>High Value</v>
      </c>
      <c r="C201" s="25" t="str">
        <f>IF(OR('Cleaned data'!O161&gt;0.3,'Cleaned data'!J161&lt;2),"Risky","Safe")</f>
        <v>Safe</v>
      </c>
      <c r="D201" s="25" t="str">
        <f>IF('Cleaned data'!R161="Delivered","Completed","Not Completed")</f>
        <v>Not Completed</v>
      </c>
      <c r="E201" s="25" t="str">
        <f>IF('Cleaned data'!J161&gt;=15,"Bulk Order",
 IF('Cleaned data'!J161&gt;=5,"Normal Order",
 "Small Order"))</f>
        <v>Bulk Order</v>
      </c>
    </row>
    <row r="202" spans="1:5" x14ac:dyDescent="0.35">
      <c r="A202" s="25" t="s">
        <v>320</v>
      </c>
      <c r="B202" s="26" t="str">
        <f>IF(AND('Cleaned data'!S162&gt;2000,'Cleaned data'!U162&gt;0),"High Value","Normal")</f>
        <v>High Value</v>
      </c>
      <c r="C202" s="25" t="str">
        <f>IF(OR('Cleaned data'!O162&gt;0.3,'Cleaned data'!J162&lt;2),"Risky","Safe")</f>
        <v>Safe</v>
      </c>
      <c r="D202" s="25" t="str">
        <f>IF('Cleaned data'!R162="Delivered","Completed","Not Completed")</f>
        <v>Not Completed</v>
      </c>
      <c r="E202" s="25" t="str">
        <f>IF('Cleaned data'!J162&gt;=15,"Bulk Order",
 IF('Cleaned data'!J162&gt;=5,"Normal Order",
 "Small Order"))</f>
        <v>Bulk Order</v>
      </c>
    </row>
    <row r="203" spans="1:5" x14ac:dyDescent="0.35">
      <c r="A203" s="25" t="s">
        <v>322</v>
      </c>
      <c r="B203" s="26" t="str">
        <f>IF(AND('Cleaned data'!S163&gt;2000,'Cleaned data'!U163&gt;0),"High Value","Normal")</f>
        <v>High Value</v>
      </c>
      <c r="C203" s="25" t="str">
        <f>IF(OR('Cleaned data'!O163&gt;0.3,'Cleaned data'!J163&lt;2),"Risky","Safe")</f>
        <v>Safe</v>
      </c>
      <c r="D203" s="25" t="str">
        <f>IF('Cleaned data'!R163="Delivered","Completed","Not Completed")</f>
        <v>Not Completed</v>
      </c>
      <c r="E203" s="25" t="str">
        <f>IF('Cleaned data'!J163&gt;=15,"Bulk Order",
 IF('Cleaned data'!J163&gt;=5,"Normal Order",
 "Small Order"))</f>
        <v>Bulk Order</v>
      </c>
    </row>
    <row r="204" spans="1:5" x14ac:dyDescent="0.35">
      <c r="A204" s="25" t="s">
        <v>324</v>
      </c>
      <c r="B204" s="26" t="str">
        <f>IF(AND('Cleaned data'!S164&gt;2000,'Cleaned data'!U164&gt;0),"High Value","Normal")</f>
        <v>Normal</v>
      </c>
      <c r="C204" s="25" t="str">
        <f>IF(OR('Cleaned data'!O164&gt;0.3,'Cleaned data'!J164&lt;2),"Risky","Safe")</f>
        <v>Risky</v>
      </c>
      <c r="D204" s="25" t="str">
        <f>IF('Cleaned data'!R164="Delivered","Completed","Not Completed")</f>
        <v>Completed</v>
      </c>
      <c r="E204" s="25" t="str">
        <f>IF('Cleaned data'!J164&gt;=15,"Bulk Order",
 IF('Cleaned data'!J164&gt;=5,"Normal Order",
 "Small Order"))</f>
        <v>Small Order</v>
      </c>
    </row>
    <row r="205" spans="1:5" x14ac:dyDescent="0.35">
      <c r="A205" s="25" t="s">
        <v>325</v>
      </c>
      <c r="B205" s="26" t="str">
        <f>IF(AND('Cleaned data'!S165&gt;2000,'Cleaned data'!U165&gt;0),"High Value","Normal")</f>
        <v>Normal</v>
      </c>
      <c r="C205" s="25" t="str">
        <f>IF(OR('Cleaned data'!O165&gt;0.3,'Cleaned data'!J165&lt;2),"Risky","Safe")</f>
        <v>Safe</v>
      </c>
      <c r="D205" s="25" t="str">
        <f>IF('Cleaned data'!R165="Delivered","Completed","Not Completed")</f>
        <v>Not Completed</v>
      </c>
      <c r="E205" s="25" t="str">
        <f>IF('Cleaned data'!J165&gt;=15,"Bulk Order",
 IF('Cleaned data'!J165&gt;=5,"Normal Order",
 "Small Order"))</f>
        <v>Bulk Order</v>
      </c>
    </row>
    <row r="206" spans="1:5" x14ac:dyDescent="0.35">
      <c r="A206" s="25" t="s">
        <v>326</v>
      </c>
      <c r="B206" s="26" t="str">
        <f>IF(AND('Cleaned data'!S166&gt;2000,'Cleaned data'!U166&gt;0),"High Value","Normal")</f>
        <v>Normal</v>
      </c>
      <c r="C206" s="25" t="str">
        <f>IF(OR('Cleaned data'!O166&gt;0.3,'Cleaned data'!J166&lt;2),"Risky","Safe")</f>
        <v>Safe</v>
      </c>
      <c r="D206" s="25" t="str">
        <f>IF('Cleaned data'!R166="Delivered","Completed","Not Completed")</f>
        <v>Not Completed</v>
      </c>
      <c r="E206" s="25" t="str">
        <f>IF('Cleaned data'!J166&gt;=15,"Bulk Order",
 IF('Cleaned data'!J166&gt;=5,"Normal Order",
 "Small Order"))</f>
        <v>Small Order</v>
      </c>
    </row>
    <row r="207" spans="1:5" x14ac:dyDescent="0.35">
      <c r="A207" s="25" t="s">
        <v>328</v>
      </c>
      <c r="B207" s="26" t="str">
        <f>IF(AND('Cleaned data'!S167&gt;2000,'Cleaned data'!U167&gt;0),"High Value","Normal")</f>
        <v>High Value</v>
      </c>
      <c r="C207" s="25" t="str">
        <f>IF(OR('Cleaned data'!O167&gt;0.3,'Cleaned data'!J167&lt;2),"Risky","Safe")</f>
        <v>Safe</v>
      </c>
      <c r="D207" s="25" t="str">
        <f>IF('Cleaned data'!R167="Delivered","Completed","Not Completed")</f>
        <v>Not Completed</v>
      </c>
      <c r="E207" s="25" t="str">
        <f>IF('Cleaned data'!J167&gt;=15,"Bulk Order",
 IF('Cleaned data'!J167&gt;=5,"Normal Order",
 "Small Order"))</f>
        <v>Bulk Order</v>
      </c>
    </row>
    <row r="208" spans="1:5" x14ac:dyDescent="0.35">
      <c r="A208" s="25" t="s">
        <v>329</v>
      </c>
      <c r="B208" s="26" t="str">
        <f>IF(AND('Cleaned data'!S168&gt;2000,'Cleaned data'!U168&gt;0),"High Value","Normal")</f>
        <v>Normal</v>
      </c>
      <c r="C208" s="25" t="str">
        <f>IF(OR('Cleaned data'!O168&gt;0.3,'Cleaned data'!J168&lt;2),"Risky","Safe")</f>
        <v>Safe</v>
      </c>
      <c r="D208" s="25" t="str">
        <f>IF('Cleaned data'!R168="Delivered","Completed","Not Completed")</f>
        <v>Not Completed</v>
      </c>
      <c r="E208" s="25" t="str">
        <f>IF('Cleaned data'!J168&gt;=15,"Bulk Order",
 IF('Cleaned data'!J168&gt;=5,"Normal Order",
 "Small Order"))</f>
        <v>Small Order</v>
      </c>
    </row>
    <row r="209" spans="1:5" x14ac:dyDescent="0.35">
      <c r="A209" s="25" t="s">
        <v>330</v>
      </c>
      <c r="B209" s="26" t="str">
        <f>IF(AND('Cleaned data'!S169&gt;2000,'Cleaned data'!U169&gt;0),"High Value","Normal")</f>
        <v>Normal</v>
      </c>
      <c r="C209" s="25" t="str">
        <f>IF(OR('Cleaned data'!O169&gt;0.3,'Cleaned data'!J169&lt;2),"Risky","Safe")</f>
        <v>Safe</v>
      </c>
      <c r="D209" s="25" t="str">
        <f>IF('Cleaned data'!R169="Delivered","Completed","Not Completed")</f>
        <v>Not Completed</v>
      </c>
      <c r="E209" s="25" t="str">
        <f>IF('Cleaned data'!J169&gt;=15,"Bulk Order",
 IF('Cleaned data'!J169&gt;=5,"Normal Order",
 "Small Order"))</f>
        <v>Bulk Order</v>
      </c>
    </row>
    <row r="210" spans="1:5" x14ac:dyDescent="0.35">
      <c r="A210" s="25" t="s">
        <v>331</v>
      </c>
      <c r="B210" s="26" t="str">
        <f>IF(AND('Cleaned data'!S170&gt;2000,'Cleaned data'!U170&gt;0),"High Value","Normal")</f>
        <v>High Value</v>
      </c>
      <c r="C210" s="25" t="str">
        <f>IF(OR('Cleaned data'!O170&gt;0.3,'Cleaned data'!J170&lt;2),"Risky","Safe")</f>
        <v>Safe</v>
      </c>
      <c r="D210" s="25" t="str">
        <f>IF('Cleaned data'!R170="Delivered","Completed","Not Completed")</f>
        <v>Completed</v>
      </c>
      <c r="E210" s="25" t="str">
        <f>IF('Cleaned data'!J170&gt;=15,"Bulk Order",
 IF('Cleaned data'!J170&gt;=5,"Normal Order",
 "Small Order"))</f>
        <v>Bulk Order</v>
      </c>
    </row>
    <row r="211" spans="1:5" x14ac:dyDescent="0.35">
      <c r="A211" s="25" t="s">
        <v>332</v>
      </c>
      <c r="B211" s="26" t="str">
        <f>IF(AND('Cleaned data'!S171&gt;2000,'Cleaned data'!U171&gt;0),"High Value","Normal")</f>
        <v>Normal</v>
      </c>
      <c r="C211" s="25" t="str">
        <f>IF(OR('Cleaned data'!O171&gt;0.3,'Cleaned data'!J171&lt;2),"Risky","Safe")</f>
        <v>Safe</v>
      </c>
      <c r="D211" s="25" t="str">
        <f>IF('Cleaned data'!R171="Delivered","Completed","Not Completed")</f>
        <v>Completed</v>
      </c>
      <c r="E211" s="25" t="str">
        <f>IF('Cleaned data'!J171&gt;=15,"Bulk Order",
 IF('Cleaned data'!J171&gt;=5,"Normal Order",
 "Small Order"))</f>
        <v>Bulk Order</v>
      </c>
    </row>
    <row r="212" spans="1:5" x14ac:dyDescent="0.35">
      <c r="A212" s="25" t="s">
        <v>334</v>
      </c>
      <c r="B212" s="26" t="str">
        <f>IF(AND('Cleaned data'!S172&gt;2000,'Cleaned data'!U172&gt;0),"High Value","Normal")</f>
        <v>High Value</v>
      </c>
      <c r="C212" s="25" t="str">
        <f>IF(OR('Cleaned data'!O172&gt;0.3,'Cleaned data'!J172&lt;2),"Risky","Safe")</f>
        <v>Safe</v>
      </c>
      <c r="D212" s="25" t="str">
        <f>IF('Cleaned data'!R172="Delivered","Completed","Not Completed")</f>
        <v>Not Completed</v>
      </c>
      <c r="E212" s="25" t="str">
        <f>IF('Cleaned data'!J172&gt;=15,"Bulk Order",
 IF('Cleaned data'!J172&gt;=5,"Normal Order",
 "Small Order"))</f>
        <v>Bulk Order</v>
      </c>
    </row>
    <row r="213" spans="1:5" x14ac:dyDescent="0.35">
      <c r="A213" s="25" t="s">
        <v>335</v>
      </c>
      <c r="B213" s="26" t="str">
        <f>IF(AND('Cleaned data'!S173&gt;2000,'Cleaned data'!U173&gt;0),"High Value","Normal")</f>
        <v>High Value</v>
      </c>
      <c r="C213" s="25" t="str">
        <f>IF(OR('Cleaned data'!O173&gt;0.3,'Cleaned data'!J173&lt;2),"Risky","Safe")</f>
        <v>Safe</v>
      </c>
      <c r="D213" s="25" t="str">
        <f>IF('Cleaned data'!R173="Delivered","Completed","Not Completed")</f>
        <v>Not Completed</v>
      </c>
      <c r="E213" s="25" t="str">
        <f>IF('Cleaned data'!J173&gt;=15,"Bulk Order",
 IF('Cleaned data'!J173&gt;=5,"Normal Order",
 "Small Order"))</f>
        <v>Bulk Order</v>
      </c>
    </row>
    <row r="214" spans="1:5" x14ac:dyDescent="0.35">
      <c r="A214" s="25" t="s">
        <v>336</v>
      </c>
      <c r="B214" s="26" t="str">
        <f>IF(AND('Cleaned data'!S174&gt;2000,'Cleaned data'!U174&gt;0),"High Value","Normal")</f>
        <v>Normal</v>
      </c>
      <c r="C214" s="25" t="str">
        <f>IF(OR('Cleaned data'!O174&gt;0.3,'Cleaned data'!J174&lt;2),"Risky","Safe")</f>
        <v>Safe</v>
      </c>
      <c r="D214" s="25" t="str">
        <f>IF('Cleaned data'!R174="Delivered","Completed","Not Completed")</f>
        <v>Not Completed</v>
      </c>
      <c r="E214" s="25" t="str">
        <f>IF('Cleaned data'!J174&gt;=15,"Bulk Order",
 IF('Cleaned data'!J174&gt;=5,"Normal Order",
 "Small Order"))</f>
        <v>Bulk Order</v>
      </c>
    </row>
    <row r="215" spans="1:5" x14ac:dyDescent="0.35">
      <c r="A215" s="25" t="s">
        <v>338</v>
      </c>
      <c r="B215" s="26" t="str">
        <f>IF(AND('Cleaned data'!S175&gt;2000,'Cleaned data'!U175&gt;0),"High Value","Normal")</f>
        <v>Normal</v>
      </c>
      <c r="C215" s="25" t="str">
        <f>IF(OR('Cleaned data'!O175&gt;0.3,'Cleaned data'!J175&lt;2),"Risky","Safe")</f>
        <v>Safe</v>
      </c>
      <c r="D215" s="25" t="str">
        <f>IF('Cleaned data'!R175="Delivered","Completed","Not Completed")</f>
        <v>Not Completed</v>
      </c>
      <c r="E215" s="25" t="str">
        <f>IF('Cleaned data'!J175&gt;=15,"Bulk Order",
 IF('Cleaned data'!J175&gt;=5,"Normal Order",
 "Small Order"))</f>
        <v>Bulk Order</v>
      </c>
    </row>
    <row r="216" spans="1:5" x14ac:dyDescent="0.35">
      <c r="A216" s="25" t="s">
        <v>339</v>
      </c>
      <c r="B216" s="26" t="str">
        <f>IF(AND('Cleaned data'!S176&gt;2000,'Cleaned data'!U176&gt;0),"High Value","Normal")</f>
        <v>High Value</v>
      </c>
      <c r="C216" s="25" t="str">
        <f>IF(OR('Cleaned data'!O176&gt;0.3,'Cleaned data'!J176&lt;2),"Risky","Safe")</f>
        <v>Safe</v>
      </c>
      <c r="D216" s="25" t="str">
        <f>IF('Cleaned data'!R176="Delivered","Completed","Not Completed")</f>
        <v>Not Completed</v>
      </c>
      <c r="E216" s="25" t="str">
        <f>IF('Cleaned data'!J176&gt;=15,"Bulk Order",
 IF('Cleaned data'!J176&gt;=5,"Normal Order",
 "Small Order"))</f>
        <v>Bulk Order</v>
      </c>
    </row>
    <row r="217" spans="1:5" x14ac:dyDescent="0.35">
      <c r="A217" s="25" t="s">
        <v>340</v>
      </c>
      <c r="B217" s="26" t="str">
        <f>IF(AND('Cleaned data'!S177&gt;2000,'Cleaned data'!U177&gt;0),"High Value","Normal")</f>
        <v>High Value</v>
      </c>
      <c r="C217" s="25" t="str">
        <f>IF(OR('Cleaned data'!O177&gt;0.3,'Cleaned data'!J177&lt;2),"Risky","Safe")</f>
        <v>Safe</v>
      </c>
      <c r="D217" s="25" t="str">
        <f>IF('Cleaned data'!R177="Delivered","Completed","Not Completed")</f>
        <v>Completed</v>
      </c>
      <c r="E217" s="25" t="str">
        <f>IF('Cleaned data'!J177&gt;=15,"Bulk Order",
 IF('Cleaned data'!J177&gt;=5,"Normal Order",
 "Small Order"))</f>
        <v>Bulk Order</v>
      </c>
    </row>
    <row r="218" spans="1:5" x14ac:dyDescent="0.35">
      <c r="A218" s="25" t="s">
        <v>342</v>
      </c>
      <c r="B218" s="26" t="str">
        <f>IF(AND('Cleaned data'!S178&gt;2000,'Cleaned data'!U178&gt;0),"High Value","Normal")</f>
        <v>Normal</v>
      </c>
      <c r="C218" s="25" t="str">
        <f>IF(OR('Cleaned data'!O178&gt;0.3,'Cleaned data'!J178&lt;2),"Risky","Safe")</f>
        <v>Safe</v>
      </c>
      <c r="D218" s="25" t="str">
        <f>IF('Cleaned data'!R178="Delivered","Completed","Not Completed")</f>
        <v>Completed</v>
      </c>
      <c r="E218" s="25" t="str">
        <f>IF('Cleaned data'!J178&gt;=15,"Bulk Order",
 IF('Cleaned data'!J178&gt;=5,"Normal Order",
 "Small Order"))</f>
        <v>Bulk Order</v>
      </c>
    </row>
    <row r="219" spans="1:5" x14ac:dyDescent="0.35">
      <c r="A219" s="25" t="s">
        <v>343</v>
      </c>
      <c r="B219" s="26" t="str">
        <f>IF(AND('Cleaned data'!S179&gt;2000,'Cleaned data'!U179&gt;0),"High Value","Normal")</f>
        <v>High Value</v>
      </c>
      <c r="C219" s="25" t="str">
        <f>IF(OR('Cleaned data'!O179&gt;0.3,'Cleaned data'!J179&lt;2),"Risky","Safe")</f>
        <v>Safe</v>
      </c>
      <c r="D219" s="25" t="str">
        <f>IF('Cleaned data'!R179="Delivered","Completed","Not Completed")</f>
        <v>Completed</v>
      </c>
      <c r="E219" s="25" t="str">
        <f>IF('Cleaned data'!J179&gt;=15,"Bulk Order",
 IF('Cleaned data'!J179&gt;=5,"Normal Order",
 "Small Order"))</f>
        <v>Bulk Order</v>
      </c>
    </row>
    <row r="220" spans="1:5" x14ac:dyDescent="0.35">
      <c r="A220" s="25" t="s">
        <v>344</v>
      </c>
      <c r="B220" s="26" t="str">
        <f>IF(AND('Cleaned data'!S180&gt;2000,'Cleaned data'!U180&gt;0),"High Value","Normal")</f>
        <v>High Value</v>
      </c>
      <c r="C220" s="25" t="str">
        <f>IF(OR('Cleaned data'!O180&gt;0.3,'Cleaned data'!J180&lt;2),"Risky","Safe")</f>
        <v>Safe</v>
      </c>
      <c r="D220" s="25" t="str">
        <f>IF('Cleaned data'!R180="Delivered","Completed","Not Completed")</f>
        <v>Not Completed</v>
      </c>
      <c r="E220" s="25" t="str">
        <f>IF('Cleaned data'!J180&gt;=15,"Bulk Order",
 IF('Cleaned data'!J180&gt;=5,"Normal Order",
 "Small Order"))</f>
        <v>Bulk Order</v>
      </c>
    </row>
    <row r="221" spans="1:5" x14ac:dyDescent="0.35">
      <c r="A221" s="25" t="s">
        <v>346</v>
      </c>
      <c r="B221" s="26" t="str">
        <f>IF(AND('Cleaned data'!S181&gt;2000,'Cleaned data'!U181&gt;0),"High Value","Normal")</f>
        <v>High Value</v>
      </c>
      <c r="C221" s="25" t="str">
        <f>IF(OR('Cleaned data'!O181&gt;0.3,'Cleaned data'!J181&lt;2),"Risky","Safe")</f>
        <v>Safe</v>
      </c>
      <c r="D221" s="25" t="str">
        <f>IF('Cleaned data'!R181="Delivered","Completed","Not Completed")</f>
        <v>Not Completed</v>
      </c>
      <c r="E221" s="25" t="str">
        <f>IF('Cleaned data'!J181&gt;=15,"Bulk Order",
 IF('Cleaned data'!J181&gt;=5,"Normal Order",
 "Small Order"))</f>
        <v>Bulk Order</v>
      </c>
    </row>
    <row r="222" spans="1:5" x14ac:dyDescent="0.35">
      <c r="A222" s="25" t="s">
        <v>348</v>
      </c>
      <c r="B222" s="26" t="str">
        <f>IF(AND('Cleaned data'!S182&gt;2000,'Cleaned data'!U182&gt;0),"High Value","Normal")</f>
        <v>High Value</v>
      </c>
      <c r="C222" s="25" t="str">
        <f>IF(OR('Cleaned data'!O182&gt;0.3,'Cleaned data'!J182&lt;2),"Risky","Safe")</f>
        <v>Safe</v>
      </c>
      <c r="D222" s="25" t="str">
        <f>IF('Cleaned data'!R182="Delivered","Completed","Not Completed")</f>
        <v>Not Completed</v>
      </c>
      <c r="E222" s="25" t="str">
        <f>IF('Cleaned data'!J182&gt;=15,"Bulk Order",
 IF('Cleaned data'!J182&gt;=5,"Normal Order",
 "Small Order"))</f>
        <v>Bulk Order</v>
      </c>
    </row>
    <row r="223" spans="1:5" x14ac:dyDescent="0.35">
      <c r="A223" s="25" t="s">
        <v>350</v>
      </c>
      <c r="B223" s="26" t="str">
        <f>IF(AND('Cleaned data'!S183&gt;2000,'Cleaned data'!U183&gt;0),"High Value","Normal")</f>
        <v>High Value</v>
      </c>
      <c r="C223" s="25" t="str">
        <f>IF(OR('Cleaned data'!O183&gt;0.3,'Cleaned data'!J183&lt;2),"Risky","Safe")</f>
        <v>Safe</v>
      </c>
      <c r="D223" s="25" t="str">
        <f>IF('Cleaned data'!R183="Delivered","Completed","Not Completed")</f>
        <v>Not Completed</v>
      </c>
      <c r="E223" s="25" t="str">
        <f>IF('Cleaned data'!J183&gt;=15,"Bulk Order",
 IF('Cleaned data'!J183&gt;=5,"Normal Order",
 "Small Order"))</f>
        <v>Bulk Order</v>
      </c>
    </row>
    <row r="224" spans="1:5" x14ac:dyDescent="0.35">
      <c r="A224" s="25" t="s">
        <v>351</v>
      </c>
      <c r="B224" s="26" t="str">
        <f>IF(AND('Cleaned data'!S184&gt;2000,'Cleaned data'!U184&gt;0),"High Value","Normal")</f>
        <v>High Value</v>
      </c>
      <c r="C224" s="25" t="str">
        <f>IF(OR('Cleaned data'!O184&gt;0.3,'Cleaned data'!J184&lt;2),"Risky","Safe")</f>
        <v>Safe</v>
      </c>
      <c r="D224" s="25" t="str">
        <f>IF('Cleaned data'!R184="Delivered","Completed","Not Completed")</f>
        <v>Completed</v>
      </c>
      <c r="E224" s="25" t="str">
        <f>IF('Cleaned data'!J184&gt;=15,"Bulk Order",
 IF('Cleaned data'!J184&gt;=5,"Normal Order",
 "Small Order"))</f>
        <v>Normal Order</v>
      </c>
    </row>
    <row r="225" spans="1:5" x14ac:dyDescent="0.35">
      <c r="A225" s="25" t="s">
        <v>352</v>
      </c>
      <c r="B225" s="26" t="str">
        <f>IF(AND('Cleaned data'!S185&gt;2000,'Cleaned data'!U185&gt;0),"High Value","Normal")</f>
        <v>Normal</v>
      </c>
      <c r="C225" s="25" t="str">
        <f>IF(OR('Cleaned data'!O185&gt;0.3,'Cleaned data'!J185&lt;2),"Risky","Safe")</f>
        <v>Safe</v>
      </c>
      <c r="D225" s="25" t="str">
        <f>IF('Cleaned data'!R185="Delivered","Completed","Not Completed")</f>
        <v>Not Completed</v>
      </c>
      <c r="E225" s="25" t="str">
        <f>IF('Cleaned data'!J185&gt;=15,"Bulk Order",
 IF('Cleaned data'!J185&gt;=5,"Normal Order",
 "Small Order"))</f>
        <v>Normal Order</v>
      </c>
    </row>
    <row r="226" spans="1:5" x14ac:dyDescent="0.35">
      <c r="A226" s="25" t="s">
        <v>353</v>
      </c>
      <c r="B226" s="26" t="str">
        <f>IF(AND('Cleaned data'!S186&gt;2000,'Cleaned data'!U186&gt;0),"High Value","Normal")</f>
        <v>High Value</v>
      </c>
      <c r="C226" s="25" t="str">
        <f>IF(OR('Cleaned data'!O186&gt;0.3,'Cleaned data'!J186&lt;2),"Risky","Safe")</f>
        <v>Safe</v>
      </c>
      <c r="D226" s="25" t="str">
        <f>IF('Cleaned data'!R186="Delivered","Completed","Not Completed")</f>
        <v>Not Completed</v>
      </c>
      <c r="E226" s="25" t="str">
        <f>IF('Cleaned data'!J186&gt;=15,"Bulk Order",
 IF('Cleaned data'!J186&gt;=5,"Normal Order",
 "Small Order"))</f>
        <v>Bulk Order</v>
      </c>
    </row>
    <row r="227" spans="1:5" x14ac:dyDescent="0.35">
      <c r="A227" s="25" t="s">
        <v>354</v>
      </c>
      <c r="B227" s="26" t="str">
        <f>IF(AND('Cleaned data'!S187&gt;2000,'Cleaned data'!U187&gt;0),"High Value","Normal")</f>
        <v>High Value</v>
      </c>
      <c r="C227" s="25" t="str">
        <f>IF(OR('Cleaned data'!O187&gt;0.3,'Cleaned data'!J187&lt;2),"Risky","Safe")</f>
        <v>Safe</v>
      </c>
      <c r="D227" s="25" t="str">
        <f>IF('Cleaned data'!R187="Delivered","Completed","Not Completed")</f>
        <v>Not Completed</v>
      </c>
      <c r="E227" s="25" t="str">
        <f>IF('Cleaned data'!J187&gt;=15,"Bulk Order",
 IF('Cleaned data'!J187&gt;=5,"Normal Order",
 "Small Order"))</f>
        <v>Bulk Order</v>
      </c>
    </row>
    <row r="228" spans="1:5" x14ac:dyDescent="0.35">
      <c r="A228" s="25" t="s">
        <v>355</v>
      </c>
      <c r="B228" s="26" t="str">
        <f>IF(AND('Cleaned data'!S188&gt;2000,'Cleaned data'!U188&gt;0),"High Value","Normal")</f>
        <v>Normal</v>
      </c>
      <c r="C228" s="25" t="str">
        <f>IF(OR('Cleaned data'!O188&gt;0.3,'Cleaned data'!J188&lt;2),"Risky","Safe")</f>
        <v>Safe</v>
      </c>
      <c r="D228" s="25" t="str">
        <f>IF('Cleaned data'!R188="Delivered","Completed","Not Completed")</f>
        <v>Not Completed</v>
      </c>
      <c r="E228" s="25" t="str">
        <f>IF('Cleaned data'!J188&gt;=15,"Bulk Order",
 IF('Cleaned data'!J188&gt;=5,"Normal Order",
 "Small Order"))</f>
        <v>Bulk Order</v>
      </c>
    </row>
    <row r="229" spans="1:5" x14ac:dyDescent="0.35">
      <c r="A229" s="25" t="s">
        <v>356</v>
      </c>
      <c r="B229" s="26" t="str">
        <f>IF(AND('Cleaned data'!S189&gt;2000,'Cleaned data'!U189&gt;0),"High Value","Normal")</f>
        <v>High Value</v>
      </c>
      <c r="C229" s="25" t="str">
        <f>IF(OR('Cleaned data'!O189&gt;0.3,'Cleaned data'!J189&lt;2),"Risky","Safe")</f>
        <v>Safe</v>
      </c>
      <c r="D229" s="25" t="str">
        <f>IF('Cleaned data'!R189="Delivered","Completed","Not Completed")</f>
        <v>Completed</v>
      </c>
      <c r="E229" s="25" t="str">
        <f>IF('Cleaned data'!J189&gt;=15,"Bulk Order",
 IF('Cleaned data'!J189&gt;=5,"Normal Order",
 "Small Order"))</f>
        <v>Bulk Order</v>
      </c>
    </row>
    <row r="230" spans="1:5" x14ac:dyDescent="0.35">
      <c r="A230" s="25" t="s">
        <v>357</v>
      </c>
      <c r="B230" s="26" t="str">
        <f>IF(AND('Cleaned data'!S190&gt;2000,'Cleaned data'!U190&gt;0),"High Value","Normal")</f>
        <v>Normal</v>
      </c>
      <c r="C230" s="25" t="str">
        <f>IF(OR('Cleaned data'!O190&gt;0.3,'Cleaned data'!J190&lt;2),"Risky","Safe")</f>
        <v>Safe</v>
      </c>
      <c r="D230" s="25" t="str">
        <f>IF('Cleaned data'!R190="Delivered","Completed","Not Completed")</f>
        <v>Completed</v>
      </c>
      <c r="E230" s="25" t="str">
        <f>IF('Cleaned data'!J190&gt;=15,"Bulk Order",
 IF('Cleaned data'!J190&gt;=5,"Normal Order",
 "Small Order"))</f>
        <v>Bulk Order</v>
      </c>
    </row>
    <row r="231" spans="1:5" x14ac:dyDescent="0.35">
      <c r="A231" s="25" t="s">
        <v>358</v>
      </c>
      <c r="B231" s="26" t="str">
        <f>IF(AND('Cleaned data'!S191&gt;2000,'Cleaned data'!U191&gt;0),"High Value","Normal")</f>
        <v>Normal</v>
      </c>
      <c r="C231" s="25" t="str">
        <f>IF(OR('Cleaned data'!O191&gt;0.3,'Cleaned data'!J191&lt;2),"Risky","Safe")</f>
        <v>Safe</v>
      </c>
      <c r="D231" s="25" t="str">
        <f>IF('Cleaned data'!R191="Delivered","Completed","Not Completed")</f>
        <v>Not Completed</v>
      </c>
      <c r="E231" s="25" t="str">
        <f>IF('Cleaned data'!J191&gt;=15,"Bulk Order",
 IF('Cleaned data'!J191&gt;=5,"Normal Order",
 "Small Order"))</f>
        <v>Bulk Order</v>
      </c>
    </row>
    <row r="232" spans="1:5" x14ac:dyDescent="0.35">
      <c r="A232" s="25" t="s">
        <v>360</v>
      </c>
      <c r="B232" s="26" t="str">
        <f>IF(AND('Cleaned data'!S192&gt;2000,'Cleaned data'!U192&gt;0),"High Value","Normal")</f>
        <v>High Value</v>
      </c>
      <c r="C232" s="25" t="str">
        <f>IF(OR('Cleaned data'!O192&gt;0.3,'Cleaned data'!J192&lt;2),"Risky","Safe")</f>
        <v>Safe</v>
      </c>
      <c r="D232" s="25" t="str">
        <f>IF('Cleaned data'!R192="Delivered","Completed","Not Completed")</f>
        <v>Not Completed</v>
      </c>
      <c r="E232" s="25" t="str">
        <f>IF('Cleaned data'!J192&gt;=15,"Bulk Order",
 IF('Cleaned data'!J192&gt;=5,"Normal Order",
 "Small Order"))</f>
        <v>Small Order</v>
      </c>
    </row>
    <row r="233" spans="1:5" x14ac:dyDescent="0.35">
      <c r="A233" s="25" t="s">
        <v>361</v>
      </c>
      <c r="B233" s="26" t="str">
        <f>IF(AND('Cleaned data'!S193&gt;2000,'Cleaned data'!U193&gt;0),"High Value","Normal")</f>
        <v>High Value</v>
      </c>
      <c r="C233" s="25" t="str">
        <f>IF(OR('Cleaned data'!O193&gt;0.3,'Cleaned data'!J193&lt;2),"Risky","Safe")</f>
        <v>Safe</v>
      </c>
      <c r="D233" s="25" t="str">
        <f>IF('Cleaned data'!R193="Delivered","Completed","Not Completed")</f>
        <v>Not Completed</v>
      </c>
      <c r="E233" s="25" t="str">
        <f>IF('Cleaned data'!J193&gt;=15,"Bulk Order",
 IF('Cleaned data'!J193&gt;=5,"Normal Order",
 "Small Order"))</f>
        <v>Bulk Order</v>
      </c>
    </row>
    <row r="234" spans="1:5" x14ac:dyDescent="0.35">
      <c r="A234" s="25" t="s">
        <v>362</v>
      </c>
      <c r="B234" s="26" t="str">
        <f>IF(AND('Cleaned data'!S194&gt;2000,'Cleaned data'!U194&gt;0),"High Value","Normal")</f>
        <v>High Value</v>
      </c>
      <c r="C234" s="25" t="str">
        <f>IF(OR('Cleaned data'!O194&gt;0.3,'Cleaned data'!J194&lt;2),"Risky","Safe")</f>
        <v>Safe</v>
      </c>
      <c r="D234" s="25" t="str">
        <f>IF('Cleaned data'!R194="Delivered","Completed","Not Completed")</f>
        <v>Not Completed</v>
      </c>
      <c r="E234" s="25" t="str">
        <f>IF('Cleaned data'!J194&gt;=15,"Bulk Order",
 IF('Cleaned data'!J194&gt;=5,"Normal Order",
 "Small Order"))</f>
        <v>Bulk Order</v>
      </c>
    </row>
    <row r="235" spans="1:5" x14ac:dyDescent="0.35">
      <c r="A235" s="25" t="s">
        <v>363</v>
      </c>
      <c r="B235" s="26" t="str">
        <f>IF(AND('Cleaned data'!S195&gt;2000,'Cleaned data'!U195&gt;0),"High Value","Normal")</f>
        <v>High Value</v>
      </c>
      <c r="C235" s="25" t="str">
        <f>IF(OR('Cleaned data'!O195&gt;0.3,'Cleaned data'!J195&lt;2),"Risky","Safe")</f>
        <v>Safe</v>
      </c>
      <c r="D235" s="25" t="str">
        <f>IF('Cleaned data'!R195="Delivered","Completed","Not Completed")</f>
        <v>Completed</v>
      </c>
      <c r="E235" s="25" t="str">
        <f>IF('Cleaned data'!J195&gt;=15,"Bulk Order",
 IF('Cleaned data'!J195&gt;=5,"Normal Order",
 "Small Order"))</f>
        <v>Bulk Order</v>
      </c>
    </row>
    <row r="236" spans="1:5" x14ac:dyDescent="0.35">
      <c r="A236" s="25" t="s">
        <v>364</v>
      </c>
      <c r="B236" s="26" t="str">
        <f>IF(AND('Cleaned data'!S196&gt;2000,'Cleaned data'!U196&gt;0),"High Value","Normal")</f>
        <v>Normal</v>
      </c>
      <c r="C236" s="25" t="str">
        <f>IF(OR('Cleaned data'!O196&gt;0.3,'Cleaned data'!J196&lt;2),"Risky","Safe")</f>
        <v>Safe</v>
      </c>
      <c r="D236" s="25" t="str">
        <f>IF('Cleaned data'!R196="Delivered","Completed","Not Completed")</f>
        <v>Not Completed</v>
      </c>
      <c r="E236" s="25" t="str">
        <f>IF('Cleaned data'!J196&gt;=15,"Bulk Order",
 IF('Cleaned data'!J196&gt;=5,"Normal Order",
 "Small Order"))</f>
        <v>Bulk Order</v>
      </c>
    </row>
    <row r="237" spans="1:5" x14ac:dyDescent="0.35">
      <c r="A237" s="25" t="s">
        <v>365</v>
      </c>
      <c r="B237" s="26" t="str">
        <f>IF(AND('Cleaned data'!S197&gt;2000,'Cleaned data'!U197&gt;0),"High Value","Normal")</f>
        <v>High Value</v>
      </c>
      <c r="C237" s="25" t="str">
        <f>IF(OR('Cleaned data'!O197&gt;0.3,'Cleaned data'!J197&lt;2),"Risky","Safe")</f>
        <v>Safe</v>
      </c>
      <c r="D237" s="25" t="str">
        <f>IF('Cleaned data'!R197="Delivered","Completed","Not Completed")</f>
        <v>Completed</v>
      </c>
      <c r="E237" s="25" t="str">
        <f>IF('Cleaned data'!J197&gt;=15,"Bulk Order",
 IF('Cleaned data'!J197&gt;=5,"Normal Order",
 "Small Order"))</f>
        <v>Bulk Order</v>
      </c>
    </row>
    <row r="238" spans="1:5" x14ac:dyDescent="0.35">
      <c r="A238" s="25" t="s">
        <v>366</v>
      </c>
      <c r="B238" s="26" t="str">
        <f>IF(AND('Cleaned data'!S198&gt;2000,'Cleaned data'!U198&gt;0),"High Value","Normal")</f>
        <v>Normal</v>
      </c>
      <c r="C238" s="25" t="str">
        <f>IF(OR('Cleaned data'!O198&gt;0.3,'Cleaned data'!J198&lt;2),"Risky","Safe")</f>
        <v>Safe</v>
      </c>
      <c r="D238" s="25" t="str">
        <f>IF('Cleaned data'!R198="Delivered","Completed","Not Completed")</f>
        <v>Not Completed</v>
      </c>
      <c r="E238" s="25" t="str">
        <f>IF('Cleaned data'!J198&gt;=15,"Bulk Order",
 IF('Cleaned data'!J198&gt;=5,"Normal Order",
 "Small Order"))</f>
        <v>Bulk Order</v>
      </c>
    </row>
    <row r="239" spans="1:5" x14ac:dyDescent="0.35">
      <c r="A239" s="25" t="s">
        <v>367</v>
      </c>
      <c r="B239" s="26" t="str">
        <f>IF(AND('Cleaned data'!S199&gt;2000,'Cleaned data'!U199&gt;0),"High Value","Normal")</f>
        <v>Normal</v>
      </c>
      <c r="C239" s="25" t="str">
        <f>IF(OR('Cleaned data'!O199&gt;0.3,'Cleaned data'!J199&lt;2),"Risky","Safe")</f>
        <v>Safe</v>
      </c>
      <c r="D239" s="25" t="str">
        <f>IF('Cleaned data'!R199="Delivered","Completed","Not Completed")</f>
        <v>Not Completed</v>
      </c>
      <c r="E239" s="25" t="str">
        <f>IF('Cleaned data'!J199&gt;=15,"Bulk Order",
 IF('Cleaned data'!J199&gt;=5,"Normal Order",
 "Small Order"))</f>
        <v>Bulk Order</v>
      </c>
    </row>
    <row r="240" spans="1:5" x14ac:dyDescent="0.35">
      <c r="A240" s="25" t="s">
        <v>369</v>
      </c>
      <c r="B240" s="26" t="str">
        <f>IF(AND('Cleaned data'!S200&gt;2000,'Cleaned data'!U200&gt;0),"High Value","Normal")</f>
        <v>High Value</v>
      </c>
      <c r="C240" s="25" t="str">
        <f>IF(OR('Cleaned data'!O200&gt;0.3,'Cleaned data'!J200&lt;2),"Risky","Safe")</f>
        <v>Safe</v>
      </c>
      <c r="D240" s="25" t="str">
        <f>IF('Cleaned data'!R200="Delivered","Completed","Not Completed")</f>
        <v>Not Completed</v>
      </c>
      <c r="E240" s="25" t="str">
        <f>IF('Cleaned data'!J200&gt;=15,"Bulk Order",
 IF('Cleaned data'!J200&gt;=5,"Normal Order",
 "Small Order"))</f>
        <v>Bulk Order</v>
      </c>
    </row>
    <row r="241" spans="1:5" x14ac:dyDescent="0.35">
      <c r="A241" s="25" t="s">
        <v>370</v>
      </c>
      <c r="B241" s="26" t="str">
        <f>IF(AND('Cleaned data'!S201&gt;2000,'Cleaned data'!U201&gt;0),"High Value","Normal")</f>
        <v>High Value</v>
      </c>
      <c r="C241" s="25" t="str">
        <f>IF(OR('Cleaned data'!O201&gt;0.3,'Cleaned data'!J201&lt;2),"Risky","Safe")</f>
        <v>Safe</v>
      </c>
      <c r="D241" s="25" t="str">
        <f>IF('Cleaned data'!R201="Delivered","Completed","Not Completed")</f>
        <v>Completed</v>
      </c>
      <c r="E241" s="25" t="str">
        <f>IF('Cleaned data'!J201&gt;=15,"Bulk Order",
 IF('Cleaned data'!J201&gt;=5,"Normal Order",
 "Small Order"))</f>
        <v>Small Order</v>
      </c>
    </row>
    <row r="242" spans="1:5" x14ac:dyDescent="0.35">
      <c r="A242" s="25" t="s">
        <v>371</v>
      </c>
      <c r="B242" s="26" t="str">
        <f>IF(AND('Cleaned data'!S202&gt;2000,'Cleaned data'!U202&gt;0),"High Value","Normal")</f>
        <v>High Value</v>
      </c>
      <c r="C242" s="25" t="str">
        <f>IF(OR('Cleaned data'!O202&gt;0.3,'Cleaned data'!J202&lt;2),"Risky","Safe")</f>
        <v>Safe</v>
      </c>
      <c r="D242" s="25" t="str">
        <f>IF('Cleaned data'!R202="Delivered","Completed","Not Completed")</f>
        <v>Completed</v>
      </c>
      <c r="E242" s="25" t="str">
        <f>IF('Cleaned data'!J202&gt;=15,"Bulk Order",
 IF('Cleaned data'!J202&gt;=5,"Normal Order",
 "Small Order"))</f>
        <v>Bulk Order</v>
      </c>
    </row>
    <row r="243" spans="1:5" x14ac:dyDescent="0.35">
      <c r="A243" s="25" t="s">
        <v>372</v>
      </c>
      <c r="B243" s="26" t="str">
        <f>IF(AND('Cleaned data'!S203&gt;2000,'Cleaned data'!U203&gt;0),"High Value","Normal")</f>
        <v>Normal</v>
      </c>
      <c r="C243" s="25" t="str">
        <f>IF(OR('Cleaned data'!O203&gt;0.3,'Cleaned data'!J203&lt;2),"Risky","Safe")</f>
        <v>Safe</v>
      </c>
      <c r="D243" s="25" t="str">
        <f>IF('Cleaned data'!R203="Delivered","Completed","Not Completed")</f>
        <v>Not Completed</v>
      </c>
      <c r="E243" s="25" t="str">
        <f>IF('Cleaned data'!J203&gt;=15,"Bulk Order",
 IF('Cleaned data'!J203&gt;=5,"Normal Order",
 "Small Order"))</f>
        <v>Normal Order</v>
      </c>
    </row>
    <row r="244" spans="1:5" x14ac:dyDescent="0.35">
      <c r="A244" s="25" t="s">
        <v>373</v>
      </c>
      <c r="B244" s="26" t="str">
        <f>IF(AND('Cleaned data'!S204&gt;2000,'Cleaned data'!U204&gt;0),"High Value","Normal")</f>
        <v>Normal</v>
      </c>
      <c r="C244" s="25" t="str">
        <f>IF(OR('Cleaned data'!O204&gt;0.3,'Cleaned data'!J204&lt;2),"Risky","Safe")</f>
        <v>Safe</v>
      </c>
      <c r="D244" s="25" t="str">
        <f>IF('Cleaned data'!R204="Delivered","Completed","Not Completed")</f>
        <v>Completed</v>
      </c>
      <c r="E244" s="25" t="str">
        <f>IF('Cleaned data'!J204&gt;=15,"Bulk Order",
 IF('Cleaned data'!J204&gt;=5,"Normal Order",
 "Small Order"))</f>
        <v>Bulk Order</v>
      </c>
    </row>
    <row r="245" spans="1:5" x14ac:dyDescent="0.35">
      <c r="A245" s="25" t="s">
        <v>375</v>
      </c>
      <c r="B245" s="26" t="str">
        <f>IF(AND('Cleaned data'!S205&gt;2000,'Cleaned data'!U205&gt;0),"High Value","Normal")</f>
        <v>Normal</v>
      </c>
      <c r="C245" s="25" t="str">
        <f>IF(OR('Cleaned data'!O205&gt;0.3,'Cleaned data'!J205&lt;2),"Risky","Safe")</f>
        <v>Safe</v>
      </c>
      <c r="D245" s="25" t="str">
        <f>IF('Cleaned data'!R205="Delivered","Completed","Not Completed")</f>
        <v>Not Completed</v>
      </c>
      <c r="E245" s="25" t="str">
        <f>IF('Cleaned data'!J205&gt;=15,"Bulk Order",
 IF('Cleaned data'!J205&gt;=5,"Normal Order",
 "Small Order"))</f>
        <v>Bulk Order</v>
      </c>
    </row>
    <row r="246" spans="1:5" x14ac:dyDescent="0.35">
      <c r="A246" s="25" t="s">
        <v>376</v>
      </c>
      <c r="B246" s="26" t="str">
        <f>IF(AND('Cleaned data'!S206&gt;2000,'Cleaned data'!U206&gt;0),"High Value","Normal")</f>
        <v>High Value</v>
      </c>
      <c r="C246" s="25" t="str">
        <f>IF(OR('Cleaned data'!O206&gt;0.3,'Cleaned data'!J206&lt;2),"Risky","Safe")</f>
        <v>Safe</v>
      </c>
      <c r="D246" s="25" t="str">
        <f>IF('Cleaned data'!R206="Delivered","Completed","Not Completed")</f>
        <v>Completed</v>
      </c>
      <c r="E246" s="25" t="str">
        <f>IF('Cleaned data'!J206&gt;=15,"Bulk Order",
 IF('Cleaned data'!J206&gt;=5,"Normal Order",
 "Small Order"))</f>
        <v>Normal Order</v>
      </c>
    </row>
    <row r="247" spans="1:5" x14ac:dyDescent="0.35">
      <c r="A247" s="25" t="s">
        <v>377</v>
      </c>
      <c r="B247" s="26" t="str">
        <f>IF(AND('Cleaned data'!S207&gt;2000,'Cleaned data'!U207&gt;0),"High Value","Normal")</f>
        <v>High Value</v>
      </c>
      <c r="C247" s="25" t="str">
        <f>IF(OR('Cleaned data'!O207&gt;0.3,'Cleaned data'!J207&lt;2),"Risky","Safe")</f>
        <v>Safe</v>
      </c>
      <c r="D247" s="25" t="str">
        <f>IF('Cleaned data'!R207="Delivered","Completed","Not Completed")</f>
        <v>Completed</v>
      </c>
      <c r="E247" s="25" t="str">
        <f>IF('Cleaned data'!J207&gt;=15,"Bulk Order",
 IF('Cleaned data'!J207&gt;=5,"Normal Order",
 "Small Order"))</f>
        <v>Normal Order</v>
      </c>
    </row>
    <row r="248" spans="1:5" x14ac:dyDescent="0.35">
      <c r="A248" s="25" t="s">
        <v>378</v>
      </c>
      <c r="B248" s="26" t="str">
        <f>IF(AND('Cleaned data'!S208&gt;2000,'Cleaned data'!U208&gt;0),"High Value","Normal")</f>
        <v>Normal</v>
      </c>
      <c r="C248" s="25" t="str">
        <f>IF(OR('Cleaned data'!O208&gt;0.3,'Cleaned data'!J208&lt;2),"Risky","Safe")</f>
        <v>Safe</v>
      </c>
      <c r="D248" s="25" t="str">
        <f>IF('Cleaned data'!R208="Delivered","Completed","Not Completed")</f>
        <v>Not Completed</v>
      </c>
      <c r="E248" s="25" t="str">
        <f>IF('Cleaned data'!J208&gt;=15,"Bulk Order",
 IF('Cleaned data'!J208&gt;=5,"Normal Order",
 "Small Order"))</f>
        <v>Normal Order</v>
      </c>
    </row>
    <row r="249" spans="1:5" x14ac:dyDescent="0.35">
      <c r="A249" s="25" t="s">
        <v>379</v>
      </c>
      <c r="B249" s="26" t="str">
        <f>IF(AND('Cleaned data'!S209&gt;2000,'Cleaned data'!U209&gt;0),"High Value","Normal")</f>
        <v>Normal</v>
      </c>
      <c r="C249" s="25" t="str">
        <f>IF(OR('Cleaned data'!O209&gt;0.3,'Cleaned data'!J209&lt;2),"Risky","Safe")</f>
        <v>Safe</v>
      </c>
      <c r="D249" s="25" t="str">
        <f>IF('Cleaned data'!R209="Delivered","Completed","Not Completed")</f>
        <v>Not Completed</v>
      </c>
      <c r="E249" s="25" t="str">
        <f>IF('Cleaned data'!J209&gt;=15,"Bulk Order",
 IF('Cleaned data'!J209&gt;=5,"Normal Order",
 "Small Order"))</f>
        <v>Bulk Order</v>
      </c>
    </row>
    <row r="250" spans="1:5" x14ac:dyDescent="0.35">
      <c r="A250" s="25" t="s">
        <v>381</v>
      </c>
      <c r="B250" s="26" t="str">
        <f>IF(AND('Cleaned data'!S210&gt;2000,'Cleaned data'!U210&gt;0),"High Value","Normal")</f>
        <v>Normal</v>
      </c>
      <c r="C250" s="25" t="str">
        <f>IF(OR('Cleaned data'!O210&gt;0.3,'Cleaned data'!J210&lt;2),"Risky","Safe")</f>
        <v>Safe</v>
      </c>
      <c r="D250" s="25" t="str">
        <f>IF('Cleaned data'!R210="Delivered","Completed","Not Completed")</f>
        <v>Completed</v>
      </c>
      <c r="E250" s="25" t="str">
        <f>IF('Cleaned data'!J210&gt;=15,"Bulk Order",
 IF('Cleaned data'!J210&gt;=5,"Normal Order",
 "Small Order"))</f>
        <v>Bulk Order</v>
      </c>
    </row>
    <row r="251" spans="1:5" x14ac:dyDescent="0.35">
      <c r="A251" s="25" t="s">
        <v>383</v>
      </c>
      <c r="B251" s="26" t="str">
        <f>IF(AND('Cleaned data'!S211&gt;2000,'Cleaned data'!U211&gt;0),"High Value","Normal")</f>
        <v>Normal</v>
      </c>
      <c r="C251" s="25" t="str">
        <f>IF(OR('Cleaned data'!O211&gt;0.3,'Cleaned data'!J211&lt;2),"Risky","Safe")</f>
        <v>Safe</v>
      </c>
      <c r="D251" s="25" t="str">
        <f>IF('Cleaned data'!R211="Delivered","Completed","Not Completed")</f>
        <v>Not Completed</v>
      </c>
      <c r="E251" s="25" t="str">
        <f>IF('Cleaned data'!J211&gt;=15,"Bulk Order",
 IF('Cleaned data'!J211&gt;=5,"Normal Order",
 "Small Order"))</f>
        <v>Bulk Order</v>
      </c>
    </row>
    <row r="252" spans="1:5" x14ac:dyDescent="0.35">
      <c r="A252" s="25" t="s">
        <v>384</v>
      </c>
      <c r="B252" s="26" t="str">
        <f>IF(AND('Cleaned data'!S212&gt;2000,'Cleaned data'!U212&gt;0),"High Value","Normal")</f>
        <v>Normal</v>
      </c>
      <c r="C252" s="25" t="str">
        <f>IF(OR('Cleaned data'!O212&gt;0.3,'Cleaned data'!J212&lt;2),"Risky","Safe")</f>
        <v>Safe</v>
      </c>
      <c r="D252" s="25" t="str">
        <f>IF('Cleaned data'!R212="Delivered","Completed","Not Completed")</f>
        <v>Completed</v>
      </c>
      <c r="E252" s="25" t="str">
        <f>IF('Cleaned data'!J212&gt;=15,"Bulk Order",
 IF('Cleaned data'!J212&gt;=5,"Normal Order",
 "Small Order"))</f>
        <v>Bulk Order</v>
      </c>
    </row>
    <row r="253" spans="1:5" x14ac:dyDescent="0.35">
      <c r="A253" s="25" t="s">
        <v>385</v>
      </c>
      <c r="B253" s="26" t="str">
        <f>IF(AND('Cleaned data'!S213&gt;2000,'Cleaned data'!U213&gt;0),"High Value","Normal")</f>
        <v>High Value</v>
      </c>
      <c r="C253" s="25" t="str">
        <f>IF(OR('Cleaned data'!O213&gt;0.3,'Cleaned data'!J213&lt;2),"Risky","Safe")</f>
        <v>Safe</v>
      </c>
      <c r="D253" s="25" t="str">
        <f>IF('Cleaned data'!R213="Delivered","Completed","Not Completed")</f>
        <v>Completed</v>
      </c>
      <c r="E253" s="25" t="str">
        <f>IF('Cleaned data'!J213&gt;=15,"Bulk Order",
 IF('Cleaned data'!J213&gt;=5,"Normal Order",
 "Small Order"))</f>
        <v>Bulk Order</v>
      </c>
    </row>
    <row r="254" spans="1:5" x14ac:dyDescent="0.35">
      <c r="A254" s="25" t="s">
        <v>387</v>
      </c>
      <c r="B254" s="26" t="str">
        <f>IF(AND('Cleaned data'!S214&gt;2000,'Cleaned data'!U214&gt;0),"High Value","Normal")</f>
        <v>Normal</v>
      </c>
      <c r="C254" s="25" t="str">
        <f>IF(OR('Cleaned data'!O214&gt;0.3,'Cleaned data'!J214&lt;2),"Risky","Safe")</f>
        <v>Safe</v>
      </c>
      <c r="D254" s="25" t="str">
        <f>IF('Cleaned data'!R214="Delivered","Completed","Not Completed")</f>
        <v>Completed</v>
      </c>
      <c r="E254" s="25" t="str">
        <f>IF('Cleaned data'!J214&gt;=15,"Bulk Order",
 IF('Cleaned data'!J214&gt;=5,"Normal Order",
 "Small Order"))</f>
        <v>Normal Order</v>
      </c>
    </row>
    <row r="255" spans="1:5" x14ac:dyDescent="0.35">
      <c r="A255" s="25" t="s">
        <v>388</v>
      </c>
      <c r="B255" s="26" t="str">
        <f>IF(AND('Cleaned data'!S215&gt;2000,'Cleaned data'!U215&gt;0),"High Value","Normal")</f>
        <v>High Value</v>
      </c>
      <c r="C255" s="25" t="str">
        <f>IF(OR('Cleaned data'!O215&gt;0.3,'Cleaned data'!J215&lt;2),"Risky","Safe")</f>
        <v>Safe</v>
      </c>
      <c r="D255" s="25" t="str">
        <f>IF('Cleaned data'!R215="Delivered","Completed","Not Completed")</f>
        <v>Completed</v>
      </c>
      <c r="E255" s="25" t="str">
        <f>IF('Cleaned data'!J215&gt;=15,"Bulk Order",
 IF('Cleaned data'!J215&gt;=5,"Normal Order",
 "Small Order"))</f>
        <v>Normal Order</v>
      </c>
    </row>
    <row r="256" spans="1:5" x14ac:dyDescent="0.35">
      <c r="A256" s="25" t="s">
        <v>389</v>
      </c>
      <c r="B256" s="26" t="str">
        <f>IF(AND('Cleaned data'!S216&gt;2000,'Cleaned data'!U216&gt;0),"High Value","Normal")</f>
        <v>High Value</v>
      </c>
      <c r="C256" s="25" t="str">
        <f>IF(OR('Cleaned data'!O216&gt;0.3,'Cleaned data'!J216&lt;2),"Risky","Safe")</f>
        <v>Safe</v>
      </c>
      <c r="D256" s="25" t="str">
        <f>IF('Cleaned data'!R216="Delivered","Completed","Not Completed")</f>
        <v>Not Completed</v>
      </c>
      <c r="E256" s="25" t="str">
        <f>IF('Cleaned data'!J216&gt;=15,"Bulk Order",
 IF('Cleaned data'!J216&gt;=5,"Normal Order",
 "Small Order"))</f>
        <v>Bulk Order</v>
      </c>
    </row>
    <row r="257" spans="1:5" x14ac:dyDescent="0.35">
      <c r="A257" s="25" t="s">
        <v>391</v>
      </c>
      <c r="B257" s="26" t="str">
        <f>IF(AND('Cleaned data'!S217&gt;2000,'Cleaned data'!U217&gt;0),"High Value","Normal")</f>
        <v>Normal</v>
      </c>
      <c r="C257" s="25" t="str">
        <f>IF(OR('Cleaned data'!O217&gt;0.3,'Cleaned data'!J217&lt;2),"Risky","Safe")</f>
        <v>Safe</v>
      </c>
      <c r="D257" s="25" t="str">
        <f>IF('Cleaned data'!R217="Delivered","Completed","Not Completed")</f>
        <v>Not Completed</v>
      </c>
      <c r="E257" s="25" t="str">
        <f>IF('Cleaned data'!J217&gt;=15,"Bulk Order",
 IF('Cleaned data'!J217&gt;=5,"Normal Order",
 "Small Order"))</f>
        <v>Small Order</v>
      </c>
    </row>
    <row r="258" spans="1:5" x14ac:dyDescent="0.35">
      <c r="A258" s="25" t="s">
        <v>393</v>
      </c>
      <c r="B258" s="26" t="str">
        <f>IF(AND('Cleaned data'!S218&gt;2000,'Cleaned data'!U218&gt;0),"High Value","Normal")</f>
        <v>Normal</v>
      </c>
      <c r="C258" s="25" t="str">
        <f>IF(OR('Cleaned data'!O218&gt;0.3,'Cleaned data'!J218&lt;2),"Risky","Safe")</f>
        <v>Risky</v>
      </c>
      <c r="D258" s="25" t="str">
        <f>IF('Cleaned data'!R218="Delivered","Completed","Not Completed")</f>
        <v>Completed</v>
      </c>
      <c r="E258" s="25" t="str">
        <f>IF('Cleaned data'!J218&gt;=15,"Bulk Order",
 IF('Cleaned data'!J218&gt;=5,"Normal Order",
 "Small Order"))</f>
        <v>Small Order</v>
      </c>
    </row>
    <row r="259" spans="1:5" x14ac:dyDescent="0.35">
      <c r="A259" s="25" t="s">
        <v>394</v>
      </c>
      <c r="B259" s="26" t="str">
        <f>IF(AND('Cleaned data'!S219&gt;2000,'Cleaned data'!U219&gt;0),"High Value","Normal")</f>
        <v>Normal</v>
      </c>
      <c r="C259" s="25" t="str">
        <f>IF(OR('Cleaned data'!O219&gt;0.3,'Cleaned data'!J219&lt;2),"Risky","Safe")</f>
        <v>Safe</v>
      </c>
      <c r="D259" s="25" t="str">
        <f>IF('Cleaned data'!R219="Delivered","Completed","Not Completed")</f>
        <v>Completed</v>
      </c>
      <c r="E259" s="25" t="str">
        <f>IF('Cleaned data'!J219&gt;=15,"Bulk Order",
 IF('Cleaned data'!J219&gt;=5,"Normal Order",
 "Small Order"))</f>
        <v>Bulk Order</v>
      </c>
    </row>
    <row r="260" spans="1:5" x14ac:dyDescent="0.35">
      <c r="A260" s="25" t="s">
        <v>395</v>
      </c>
      <c r="B260" s="26" t="str">
        <f>IF(AND('Cleaned data'!S220&gt;2000,'Cleaned data'!U220&gt;0),"High Value","Normal")</f>
        <v>High Value</v>
      </c>
      <c r="C260" s="25" t="str">
        <f>IF(OR('Cleaned data'!O220&gt;0.3,'Cleaned data'!J220&lt;2),"Risky","Safe")</f>
        <v>Safe</v>
      </c>
      <c r="D260" s="25" t="str">
        <f>IF('Cleaned data'!R220="Delivered","Completed","Not Completed")</f>
        <v>Not Completed</v>
      </c>
      <c r="E260" s="25" t="str">
        <f>IF('Cleaned data'!J220&gt;=15,"Bulk Order",
 IF('Cleaned data'!J220&gt;=5,"Normal Order",
 "Small Order"))</f>
        <v>Bulk Order</v>
      </c>
    </row>
    <row r="261" spans="1:5" x14ac:dyDescent="0.35">
      <c r="A261" s="25" t="s">
        <v>397</v>
      </c>
      <c r="B261" s="26" t="str">
        <f>IF(AND('Cleaned data'!S221&gt;2000,'Cleaned data'!U221&gt;0),"High Value","Normal")</f>
        <v>Normal</v>
      </c>
      <c r="C261" s="25" t="str">
        <f>IF(OR('Cleaned data'!O221&gt;0.3,'Cleaned data'!J221&lt;2),"Risky","Safe")</f>
        <v>Safe</v>
      </c>
      <c r="D261" s="25" t="str">
        <f>IF('Cleaned data'!R221="Delivered","Completed","Not Completed")</f>
        <v>Not Completed</v>
      </c>
      <c r="E261" s="25" t="str">
        <f>IF('Cleaned data'!J221&gt;=15,"Bulk Order",
 IF('Cleaned data'!J221&gt;=5,"Normal Order",
 "Small Order"))</f>
        <v>Normal Order</v>
      </c>
    </row>
    <row r="262" spans="1:5" x14ac:dyDescent="0.35">
      <c r="A262" s="25" t="s">
        <v>398</v>
      </c>
      <c r="B262" s="26" t="str">
        <f>IF(AND('Cleaned data'!S222&gt;2000,'Cleaned data'!U222&gt;0),"High Value","Normal")</f>
        <v>Normal</v>
      </c>
      <c r="C262" s="25" t="str">
        <f>IF(OR('Cleaned data'!O222&gt;0.3,'Cleaned data'!J222&lt;2),"Risky","Safe")</f>
        <v>Safe</v>
      </c>
      <c r="D262" s="25" t="str">
        <f>IF('Cleaned data'!R222="Delivered","Completed","Not Completed")</f>
        <v>Not Completed</v>
      </c>
      <c r="E262" s="25" t="str">
        <f>IF('Cleaned data'!J222&gt;=15,"Bulk Order",
 IF('Cleaned data'!J222&gt;=5,"Normal Order",
 "Small Order"))</f>
        <v>Bulk Order</v>
      </c>
    </row>
    <row r="263" spans="1:5" x14ac:dyDescent="0.35">
      <c r="A263" s="25" t="s">
        <v>399</v>
      </c>
      <c r="B263" s="26" t="str">
        <f>IF(AND('Cleaned data'!S223&gt;2000,'Cleaned data'!U223&gt;0),"High Value","Normal")</f>
        <v>Normal</v>
      </c>
      <c r="C263" s="25" t="str">
        <f>IF(OR('Cleaned data'!O223&gt;0.3,'Cleaned data'!J223&lt;2),"Risky","Safe")</f>
        <v>Safe</v>
      </c>
      <c r="D263" s="25" t="str">
        <f>IF('Cleaned data'!R223="Delivered","Completed","Not Completed")</f>
        <v>Not Completed</v>
      </c>
      <c r="E263" s="25" t="str">
        <f>IF('Cleaned data'!J223&gt;=15,"Bulk Order",
 IF('Cleaned data'!J223&gt;=5,"Normal Order",
 "Small Order"))</f>
        <v>Bulk Order</v>
      </c>
    </row>
    <row r="264" spans="1:5" x14ac:dyDescent="0.35">
      <c r="A264" s="25" t="s">
        <v>401</v>
      </c>
      <c r="B264" s="26" t="str">
        <f>IF(AND('Cleaned data'!S224&gt;2000,'Cleaned data'!U224&gt;0),"High Value","Normal")</f>
        <v>Normal</v>
      </c>
      <c r="C264" s="25" t="str">
        <f>IF(OR('Cleaned data'!O224&gt;0.3,'Cleaned data'!J224&lt;2),"Risky","Safe")</f>
        <v>Safe</v>
      </c>
      <c r="D264" s="25" t="str">
        <f>IF('Cleaned data'!R224="Delivered","Completed","Not Completed")</f>
        <v>Completed</v>
      </c>
      <c r="E264" s="25" t="str">
        <f>IF('Cleaned data'!J224&gt;=15,"Bulk Order",
 IF('Cleaned data'!J224&gt;=5,"Normal Order",
 "Small Order"))</f>
        <v>Normal Order</v>
      </c>
    </row>
    <row r="265" spans="1:5" x14ac:dyDescent="0.35">
      <c r="A265" s="25" t="s">
        <v>403</v>
      </c>
      <c r="B265" s="26" t="str">
        <f>IF(AND('Cleaned data'!S225&gt;2000,'Cleaned data'!U225&gt;0),"High Value","Normal")</f>
        <v>High Value</v>
      </c>
      <c r="C265" s="25" t="str">
        <f>IF(OR('Cleaned data'!O225&gt;0.3,'Cleaned data'!J225&lt;2),"Risky","Safe")</f>
        <v>Safe</v>
      </c>
      <c r="D265" s="25" t="str">
        <f>IF('Cleaned data'!R225="Delivered","Completed","Not Completed")</f>
        <v>Completed</v>
      </c>
      <c r="E265" s="25" t="str">
        <f>IF('Cleaned data'!J225&gt;=15,"Bulk Order",
 IF('Cleaned data'!J225&gt;=5,"Normal Order",
 "Small Order"))</f>
        <v>Bulk Order</v>
      </c>
    </row>
    <row r="266" spans="1:5" x14ac:dyDescent="0.35">
      <c r="A266" s="25" t="s">
        <v>405</v>
      </c>
      <c r="B266" s="26" t="str">
        <f>IF(AND('Cleaned data'!S226&gt;2000,'Cleaned data'!U226&gt;0),"High Value","Normal")</f>
        <v>Normal</v>
      </c>
      <c r="C266" s="25" t="str">
        <f>IF(OR('Cleaned data'!O226&gt;0.3,'Cleaned data'!J226&lt;2),"Risky","Safe")</f>
        <v>Safe</v>
      </c>
      <c r="D266" s="25" t="str">
        <f>IF('Cleaned data'!R226="Delivered","Completed","Not Completed")</f>
        <v>Not Completed</v>
      </c>
      <c r="E266" s="25" t="str">
        <f>IF('Cleaned data'!J226&gt;=15,"Bulk Order",
 IF('Cleaned data'!J226&gt;=5,"Normal Order",
 "Small Order"))</f>
        <v>Bulk Order</v>
      </c>
    </row>
    <row r="267" spans="1:5" x14ac:dyDescent="0.35">
      <c r="A267" s="25" t="s">
        <v>406</v>
      </c>
      <c r="B267" s="26" t="str">
        <f>IF(AND('Cleaned data'!S227&gt;2000,'Cleaned data'!U227&gt;0),"High Value","Normal")</f>
        <v>Normal</v>
      </c>
      <c r="C267" s="25" t="str">
        <f>IF(OR('Cleaned data'!O227&gt;0.3,'Cleaned data'!J227&lt;2),"Risky","Safe")</f>
        <v>Safe</v>
      </c>
      <c r="D267" s="25" t="str">
        <f>IF('Cleaned data'!R227="Delivered","Completed","Not Completed")</f>
        <v>Not Completed</v>
      </c>
      <c r="E267" s="25" t="str">
        <f>IF('Cleaned data'!J227&gt;=15,"Bulk Order",
 IF('Cleaned data'!J227&gt;=5,"Normal Order",
 "Small Order"))</f>
        <v>Normal Order</v>
      </c>
    </row>
    <row r="268" spans="1:5" x14ac:dyDescent="0.35">
      <c r="A268" s="25" t="s">
        <v>407</v>
      </c>
      <c r="B268" s="26" t="str">
        <f>IF(AND('Cleaned data'!S228&gt;2000,'Cleaned data'!U228&gt;0),"High Value","Normal")</f>
        <v>Normal</v>
      </c>
      <c r="C268" s="25" t="str">
        <f>IF(OR('Cleaned data'!O228&gt;0.3,'Cleaned data'!J228&lt;2),"Risky","Safe")</f>
        <v>Safe</v>
      </c>
      <c r="D268" s="25" t="str">
        <f>IF('Cleaned data'!R228="Delivered","Completed","Not Completed")</f>
        <v>Not Completed</v>
      </c>
      <c r="E268" s="25" t="str">
        <f>IF('Cleaned data'!J228&gt;=15,"Bulk Order",
 IF('Cleaned data'!J228&gt;=5,"Normal Order",
 "Small Order"))</f>
        <v>Normal Order</v>
      </c>
    </row>
    <row r="269" spans="1:5" x14ac:dyDescent="0.35">
      <c r="A269" s="25" t="s">
        <v>408</v>
      </c>
      <c r="B269" s="26" t="str">
        <f>IF(AND('Cleaned data'!S229&gt;2000,'Cleaned data'!U229&gt;0),"High Value","Normal")</f>
        <v>Normal</v>
      </c>
      <c r="C269" s="25" t="str">
        <f>IF(OR('Cleaned data'!O229&gt;0.3,'Cleaned data'!J229&lt;2),"Risky","Safe")</f>
        <v>Safe</v>
      </c>
      <c r="D269" s="25" t="str">
        <f>IF('Cleaned data'!R229="Delivered","Completed","Not Completed")</f>
        <v>Not Completed</v>
      </c>
      <c r="E269" s="25" t="str">
        <f>IF('Cleaned data'!J229&gt;=15,"Bulk Order",
 IF('Cleaned data'!J229&gt;=5,"Normal Order",
 "Small Order"))</f>
        <v>Bulk Order</v>
      </c>
    </row>
    <row r="270" spans="1:5" x14ac:dyDescent="0.35">
      <c r="A270" s="25" t="s">
        <v>409</v>
      </c>
      <c r="B270" s="26" t="str">
        <f>IF(AND('Cleaned data'!S230&gt;2000,'Cleaned data'!U230&gt;0),"High Value","Normal")</f>
        <v>Normal</v>
      </c>
      <c r="C270" s="25" t="str">
        <f>IF(OR('Cleaned data'!O230&gt;0.3,'Cleaned data'!J230&lt;2),"Risky","Safe")</f>
        <v>Safe</v>
      </c>
      <c r="D270" s="25" t="str">
        <f>IF('Cleaned data'!R230="Delivered","Completed","Not Completed")</f>
        <v>Not Completed</v>
      </c>
      <c r="E270" s="25" t="str">
        <f>IF('Cleaned data'!J230&gt;=15,"Bulk Order",
 IF('Cleaned data'!J230&gt;=5,"Normal Order",
 "Small Order"))</f>
        <v>Bulk Order</v>
      </c>
    </row>
    <row r="271" spans="1:5" x14ac:dyDescent="0.35">
      <c r="A271" s="25" t="s">
        <v>410</v>
      </c>
      <c r="B271" s="26" t="str">
        <f>IF(AND('Cleaned data'!S231&gt;2000,'Cleaned data'!U231&gt;0),"High Value","Normal")</f>
        <v>Normal</v>
      </c>
      <c r="C271" s="25" t="str">
        <f>IF(OR('Cleaned data'!O231&gt;0.3,'Cleaned data'!J231&lt;2),"Risky","Safe")</f>
        <v>Safe</v>
      </c>
      <c r="D271" s="25" t="str">
        <f>IF('Cleaned data'!R231="Delivered","Completed","Not Completed")</f>
        <v>Not Completed</v>
      </c>
      <c r="E271" s="25" t="str">
        <f>IF('Cleaned data'!J231&gt;=15,"Bulk Order",
 IF('Cleaned data'!J231&gt;=5,"Normal Order",
 "Small Order"))</f>
        <v>Normal Order</v>
      </c>
    </row>
    <row r="272" spans="1:5" x14ac:dyDescent="0.35">
      <c r="A272" s="25" t="s">
        <v>412</v>
      </c>
      <c r="B272" s="26" t="str">
        <f>IF(AND('Cleaned data'!S232&gt;2000,'Cleaned data'!U232&gt;0),"High Value","Normal")</f>
        <v>Normal</v>
      </c>
      <c r="C272" s="25" t="str">
        <f>IF(OR('Cleaned data'!O232&gt;0.3,'Cleaned data'!J232&lt;2),"Risky","Safe")</f>
        <v>Safe</v>
      </c>
      <c r="D272" s="25" t="str">
        <f>IF('Cleaned data'!R232="Delivered","Completed","Not Completed")</f>
        <v>Not Completed</v>
      </c>
      <c r="E272" s="25" t="str">
        <f>IF('Cleaned data'!J232&gt;=15,"Bulk Order",
 IF('Cleaned data'!J232&gt;=5,"Normal Order",
 "Small Order"))</f>
        <v>Bulk Order</v>
      </c>
    </row>
    <row r="273" spans="1:5" x14ac:dyDescent="0.35">
      <c r="A273" s="25" t="s">
        <v>413</v>
      </c>
      <c r="B273" s="26" t="str">
        <f>IF(AND('Cleaned data'!S233&gt;2000,'Cleaned data'!U233&gt;0),"High Value","Normal")</f>
        <v>High Value</v>
      </c>
      <c r="C273" s="25" t="str">
        <f>IF(OR('Cleaned data'!O233&gt;0.3,'Cleaned data'!J233&lt;2),"Risky","Safe")</f>
        <v>Safe</v>
      </c>
      <c r="D273" s="25" t="str">
        <f>IF('Cleaned data'!R233="Delivered","Completed","Not Completed")</f>
        <v>Not Completed</v>
      </c>
      <c r="E273" s="25" t="str">
        <f>IF('Cleaned data'!J233&gt;=15,"Bulk Order",
 IF('Cleaned data'!J233&gt;=5,"Normal Order",
 "Small Order"))</f>
        <v>Bulk Order</v>
      </c>
    </row>
    <row r="274" spans="1:5" x14ac:dyDescent="0.35">
      <c r="A274" s="25" t="s">
        <v>414</v>
      </c>
      <c r="B274" s="26" t="str">
        <f>IF(AND('Cleaned data'!S234&gt;2000,'Cleaned data'!U234&gt;0),"High Value","Normal")</f>
        <v>Normal</v>
      </c>
      <c r="C274" s="25" t="str">
        <f>IF(OR('Cleaned data'!O234&gt;0.3,'Cleaned data'!J234&lt;2),"Risky","Safe")</f>
        <v>Safe</v>
      </c>
      <c r="D274" s="25" t="str">
        <f>IF('Cleaned data'!R234="Delivered","Completed","Not Completed")</f>
        <v>Completed</v>
      </c>
      <c r="E274" s="25" t="str">
        <f>IF('Cleaned data'!J234&gt;=15,"Bulk Order",
 IF('Cleaned data'!J234&gt;=5,"Normal Order",
 "Small Order"))</f>
        <v>Bulk Order</v>
      </c>
    </row>
    <row r="275" spans="1:5" x14ac:dyDescent="0.35">
      <c r="A275" s="25" t="s">
        <v>416</v>
      </c>
      <c r="B275" s="26" t="str">
        <f>IF(AND('Cleaned data'!S235&gt;2000,'Cleaned data'!U235&gt;0),"High Value","Normal")</f>
        <v>Normal</v>
      </c>
      <c r="C275" s="25" t="str">
        <f>IF(OR('Cleaned data'!O235&gt;0.3,'Cleaned data'!J235&lt;2),"Risky","Safe")</f>
        <v>Safe</v>
      </c>
      <c r="D275" s="25" t="str">
        <f>IF('Cleaned data'!R235="Delivered","Completed","Not Completed")</f>
        <v>Completed</v>
      </c>
      <c r="E275" s="25" t="str">
        <f>IF('Cleaned data'!J235&gt;=15,"Bulk Order",
 IF('Cleaned data'!J235&gt;=5,"Normal Order",
 "Small Order"))</f>
        <v>Bulk Order</v>
      </c>
    </row>
    <row r="276" spans="1:5" x14ac:dyDescent="0.35">
      <c r="A276" s="25" t="s">
        <v>417</v>
      </c>
      <c r="B276" s="26" t="str">
        <f>IF(AND('Cleaned data'!S236&gt;2000,'Cleaned data'!U236&gt;0),"High Value","Normal")</f>
        <v>High Value</v>
      </c>
      <c r="C276" s="25" t="str">
        <f>IF(OR('Cleaned data'!O236&gt;0.3,'Cleaned data'!J236&lt;2),"Risky","Safe")</f>
        <v>Safe</v>
      </c>
      <c r="D276" s="25" t="str">
        <f>IF('Cleaned data'!R236="Delivered","Completed","Not Completed")</f>
        <v>Completed</v>
      </c>
      <c r="E276" s="25" t="str">
        <f>IF('Cleaned data'!J236&gt;=15,"Bulk Order",
 IF('Cleaned data'!J236&gt;=5,"Normal Order",
 "Small Order"))</f>
        <v>Bulk Order</v>
      </c>
    </row>
    <row r="277" spans="1:5" x14ac:dyDescent="0.35">
      <c r="A277" s="25" t="s">
        <v>418</v>
      </c>
      <c r="B277" s="26" t="str">
        <f>IF(AND('Cleaned data'!S237&gt;2000,'Cleaned data'!U237&gt;0),"High Value","Normal")</f>
        <v>High Value</v>
      </c>
      <c r="C277" s="25" t="str">
        <f>IF(OR('Cleaned data'!O237&gt;0.3,'Cleaned data'!J237&lt;2),"Risky","Safe")</f>
        <v>Safe</v>
      </c>
      <c r="D277" s="25" t="str">
        <f>IF('Cleaned data'!R237="Delivered","Completed","Not Completed")</f>
        <v>Not Completed</v>
      </c>
      <c r="E277" s="25" t="str">
        <f>IF('Cleaned data'!J237&gt;=15,"Bulk Order",
 IF('Cleaned data'!J237&gt;=5,"Normal Order",
 "Small Order"))</f>
        <v>Bulk Order</v>
      </c>
    </row>
    <row r="278" spans="1:5" x14ac:dyDescent="0.35">
      <c r="A278" s="25" t="s">
        <v>419</v>
      </c>
      <c r="B278" s="26" t="str">
        <f>IF(AND('Cleaned data'!S238&gt;2000,'Cleaned data'!U238&gt;0),"High Value","Normal")</f>
        <v>High Value</v>
      </c>
      <c r="C278" s="25" t="str">
        <f>IF(OR('Cleaned data'!O238&gt;0.3,'Cleaned data'!J238&lt;2),"Risky","Safe")</f>
        <v>Safe</v>
      </c>
      <c r="D278" s="25" t="str">
        <f>IF('Cleaned data'!R238="Delivered","Completed","Not Completed")</f>
        <v>Not Completed</v>
      </c>
      <c r="E278" s="25" t="str">
        <f>IF('Cleaned data'!J238&gt;=15,"Bulk Order",
 IF('Cleaned data'!J238&gt;=5,"Normal Order",
 "Small Order"))</f>
        <v>Bulk Order</v>
      </c>
    </row>
    <row r="279" spans="1:5" x14ac:dyDescent="0.35">
      <c r="A279" s="25" t="s">
        <v>421</v>
      </c>
      <c r="B279" s="26" t="str">
        <f>IF(AND('Cleaned data'!S239&gt;2000,'Cleaned data'!U239&gt;0),"High Value","Normal")</f>
        <v>Normal</v>
      </c>
      <c r="C279" s="25" t="str">
        <f>IF(OR('Cleaned data'!O239&gt;0.3,'Cleaned data'!J239&lt;2),"Risky","Safe")</f>
        <v>Safe</v>
      </c>
      <c r="D279" s="25" t="str">
        <f>IF('Cleaned data'!R239="Delivered","Completed","Not Completed")</f>
        <v>Not Completed</v>
      </c>
      <c r="E279" s="25" t="str">
        <f>IF('Cleaned data'!J239&gt;=15,"Bulk Order",
 IF('Cleaned data'!J239&gt;=5,"Normal Order",
 "Small Order"))</f>
        <v>Normal Order</v>
      </c>
    </row>
    <row r="280" spans="1:5" x14ac:dyDescent="0.35">
      <c r="A280" s="25" t="s">
        <v>422</v>
      </c>
      <c r="B280" s="26" t="str">
        <f>IF(AND('Cleaned data'!S240&gt;2000,'Cleaned data'!U240&gt;0),"High Value","Normal")</f>
        <v>Normal</v>
      </c>
      <c r="C280" s="25" t="str">
        <f>IF(OR('Cleaned data'!O240&gt;0.3,'Cleaned data'!J240&lt;2),"Risky","Safe")</f>
        <v>Risky</v>
      </c>
      <c r="D280" s="25" t="str">
        <f>IF('Cleaned data'!R240="Delivered","Completed","Not Completed")</f>
        <v>Not Completed</v>
      </c>
      <c r="E280" s="25" t="str">
        <f>IF('Cleaned data'!J240&gt;=15,"Bulk Order",
 IF('Cleaned data'!J240&gt;=5,"Normal Order",
 "Small Order"))</f>
        <v>Small Order</v>
      </c>
    </row>
    <row r="281" spans="1:5" x14ac:dyDescent="0.35">
      <c r="A281" s="25" t="s">
        <v>424</v>
      </c>
      <c r="B281" s="26" t="str">
        <f>IF(AND('Cleaned data'!S241&gt;2000,'Cleaned data'!U241&gt;0),"High Value","Normal")</f>
        <v>Normal</v>
      </c>
      <c r="C281" s="25" t="str">
        <f>IF(OR('Cleaned data'!O241&gt;0.3,'Cleaned data'!J241&lt;2),"Risky","Safe")</f>
        <v>Safe</v>
      </c>
      <c r="D281" s="25" t="str">
        <f>IF('Cleaned data'!R241="Delivered","Completed","Not Completed")</f>
        <v>Not Completed</v>
      </c>
      <c r="E281" s="25" t="str">
        <f>IF('Cleaned data'!J241&gt;=15,"Bulk Order",
 IF('Cleaned data'!J241&gt;=5,"Normal Order",
 "Small Order"))</f>
        <v>Bulk Order</v>
      </c>
    </row>
    <row r="282" spans="1:5" x14ac:dyDescent="0.35">
      <c r="A282" s="25" t="s">
        <v>425</v>
      </c>
      <c r="B282" s="26" t="str">
        <f>IF(AND('Cleaned data'!S242&gt;2000,'Cleaned data'!U242&gt;0),"High Value","Normal")</f>
        <v>Normal</v>
      </c>
      <c r="C282" s="25" t="str">
        <f>IF(OR('Cleaned data'!O242&gt;0.3,'Cleaned data'!J242&lt;2),"Risky","Safe")</f>
        <v>Safe</v>
      </c>
      <c r="D282" s="25" t="str">
        <f>IF('Cleaned data'!R242="Delivered","Completed","Not Completed")</f>
        <v>Completed</v>
      </c>
      <c r="E282" s="25" t="str">
        <f>IF('Cleaned data'!J242&gt;=15,"Bulk Order",
 IF('Cleaned data'!J242&gt;=5,"Normal Order",
 "Small Order"))</f>
        <v>Bulk Order</v>
      </c>
    </row>
    <row r="283" spans="1:5" x14ac:dyDescent="0.35">
      <c r="A283" s="25" t="s">
        <v>426</v>
      </c>
      <c r="B283" s="26" t="str">
        <f>IF(AND('Cleaned data'!S243&gt;2000,'Cleaned data'!U243&gt;0),"High Value","Normal")</f>
        <v>Normal</v>
      </c>
      <c r="C283" s="25" t="str">
        <f>IF(OR('Cleaned data'!O243&gt;0.3,'Cleaned data'!J243&lt;2),"Risky","Safe")</f>
        <v>Safe</v>
      </c>
      <c r="D283" s="25" t="str">
        <f>IF('Cleaned data'!R243="Delivered","Completed","Not Completed")</f>
        <v>Completed</v>
      </c>
      <c r="E283" s="25" t="str">
        <f>IF('Cleaned data'!J243&gt;=15,"Bulk Order",
 IF('Cleaned data'!J243&gt;=5,"Normal Order",
 "Small Order"))</f>
        <v>Bulk Order</v>
      </c>
    </row>
    <row r="284" spans="1:5" x14ac:dyDescent="0.35">
      <c r="A284" s="25" t="s">
        <v>427</v>
      </c>
      <c r="B284" s="26" t="str">
        <f>IF(AND('Cleaned data'!S244&gt;2000,'Cleaned data'!U244&gt;0),"High Value","Normal")</f>
        <v>High Value</v>
      </c>
      <c r="C284" s="25" t="str">
        <f>IF(OR('Cleaned data'!O244&gt;0.3,'Cleaned data'!J244&lt;2),"Risky","Safe")</f>
        <v>Safe</v>
      </c>
      <c r="D284" s="25" t="str">
        <f>IF('Cleaned data'!R244="Delivered","Completed","Not Completed")</f>
        <v>Not Completed</v>
      </c>
      <c r="E284" s="25" t="str">
        <f>IF('Cleaned data'!J244&gt;=15,"Bulk Order",
 IF('Cleaned data'!J244&gt;=5,"Normal Order",
 "Small Order"))</f>
        <v>Bulk Order</v>
      </c>
    </row>
    <row r="285" spans="1:5" x14ac:dyDescent="0.35">
      <c r="A285" s="25" t="s">
        <v>428</v>
      </c>
      <c r="B285" s="26" t="str">
        <f>IF(AND('Cleaned data'!S245&gt;2000,'Cleaned data'!U245&gt;0),"High Value","Normal")</f>
        <v>Normal</v>
      </c>
      <c r="C285" s="25" t="str">
        <f>IF(OR('Cleaned data'!O245&gt;0.3,'Cleaned data'!J245&lt;2),"Risky","Safe")</f>
        <v>Risky</v>
      </c>
      <c r="D285" s="25" t="str">
        <f>IF('Cleaned data'!R245="Delivered","Completed","Not Completed")</f>
        <v>Not Completed</v>
      </c>
      <c r="E285" s="25" t="str">
        <f>IF('Cleaned data'!J245&gt;=15,"Bulk Order",
 IF('Cleaned data'!J245&gt;=5,"Normal Order",
 "Small Order"))</f>
        <v>Small Order</v>
      </c>
    </row>
    <row r="286" spans="1:5" x14ac:dyDescent="0.35">
      <c r="A286" s="25" t="s">
        <v>429</v>
      </c>
      <c r="B286" s="26" t="str">
        <f>IF(AND('Cleaned data'!S246&gt;2000,'Cleaned data'!U246&gt;0),"High Value","Normal")</f>
        <v>Normal</v>
      </c>
      <c r="C286" s="25" t="str">
        <f>IF(OR('Cleaned data'!O246&gt;0.3,'Cleaned data'!J246&lt;2),"Risky","Safe")</f>
        <v>Risky</v>
      </c>
      <c r="D286" s="25" t="str">
        <f>IF('Cleaned data'!R246="Delivered","Completed","Not Completed")</f>
        <v>Not Completed</v>
      </c>
      <c r="E286" s="25" t="str">
        <f>IF('Cleaned data'!J246&gt;=15,"Bulk Order",
 IF('Cleaned data'!J246&gt;=5,"Normal Order",
 "Small Order"))</f>
        <v>Small Order</v>
      </c>
    </row>
    <row r="287" spans="1:5" x14ac:dyDescent="0.35">
      <c r="A287" s="25" t="s">
        <v>431</v>
      </c>
      <c r="B287" s="26" t="str">
        <f>IF(AND('Cleaned data'!S247&gt;2000,'Cleaned data'!U247&gt;0),"High Value","Normal")</f>
        <v>High Value</v>
      </c>
      <c r="C287" s="25" t="str">
        <f>IF(OR('Cleaned data'!O247&gt;0.3,'Cleaned data'!J247&lt;2),"Risky","Safe")</f>
        <v>Safe</v>
      </c>
      <c r="D287" s="25" t="str">
        <f>IF('Cleaned data'!R247="Delivered","Completed","Not Completed")</f>
        <v>Completed</v>
      </c>
      <c r="E287" s="25" t="str">
        <f>IF('Cleaned data'!J247&gt;=15,"Bulk Order",
 IF('Cleaned data'!J247&gt;=5,"Normal Order",
 "Small Order"))</f>
        <v>Bulk Order</v>
      </c>
    </row>
    <row r="288" spans="1:5" x14ac:dyDescent="0.35">
      <c r="A288" s="25" t="s">
        <v>433</v>
      </c>
      <c r="B288" s="26" t="str">
        <f>IF(AND('Cleaned data'!S248&gt;2000,'Cleaned data'!U248&gt;0),"High Value","Normal")</f>
        <v>Normal</v>
      </c>
      <c r="C288" s="25" t="str">
        <f>IF(OR('Cleaned data'!O248&gt;0.3,'Cleaned data'!J248&lt;2),"Risky","Safe")</f>
        <v>Safe</v>
      </c>
      <c r="D288" s="25" t="str">
        <f>IF('Cleaned data'!R248="Delivered","Completed","Not Completed")</f>
        <v>Not Completed</v>
      </c>
      <c r="E288" s="25" t="str">
        <f>IF('Cleaned data'!J248&gt;=15,"Bulk Order",
 IF('Cleaned data'!J248&gt;=5,"Normal Order",
 "Small Order"))</f>
        <v>Bulk Order</v>
      </c>
    </row>
    <row r="289" spans="1:5" x14ac:dyDescent="0.35">
      <c r="A289" s="25" t="s">
        <v>434</v>
      </c>
      <c r="B289" s="26" t="str">
        <f>IF(AND('Cleaned data'!S249&gt;2000,'Cleaned data'!U249&gt;0),"High Value","Normal")</f>
        <v>Normal</v>
      </c>
      <c r="C289" s="25" t="str">
        <f>IF(OR('Cleaned data'!O249&gt;0.3,'Cleaned data'!J249&lt;2),"Risky","Safe")</f>
        <v>Safe</v>
      </c>
      <c r="D289" s="25" t="str">
        <f>IF('Cleaned data'!R249="Delivered","Completed","Not Completed")</f>
        <v>Not Completed</v>
      </c>
      <c r="E289" s="25" t="str">
        <f>IF('Cleaned data'!J249&gt;=15,"Bulk Order",
 IF('Cleaned data'!J249&gt;=5,"Normal Order",
 "Small Order"))</f>
        <v>Bulk Order</v>
      </c>
    </row>
    <row r="290" spans="1:5" x14ac:dyDescent="0.35">
      <c r="A290" s="25" t="s">
        <v>435</v>
      </c>
      <c r="B290" s="26" t="str">
        <f>IF(AND('Cleaned data'!S250&gt;2000,'Cleaned data'!U250&gt;0),"High Value","Normal")</f>
        <v>High Value</v>
      </c>
      <c r="C290" s="25" t="str">
        <f>IF(OR('Cleaned data'!O250&gt;0.3,'Cleaned data'!J250&lt;2),"Risky","Safe")</f>
        <v>Safe</v>
      </c>
      <c r="D290" s="25" t="str">
        <f>IF('Cleaned data'!R250="Delivered","Completed","Not Completed")</f>
        <v>Not Completed</v>
      </c>
      <c r="E290" s="25" t="str">
        <f>IF('Cleaned data'!J250&gt;=15,"Bulk Order",
 IF('Cleaned data'!J250&gt;=5,"Normal Order",
 "Small Order"))</f>
        <v>Bulk Order</v>
      </c>
    </row>
    <row r="291" spans="1:5" x14ac:dyDescent="0.35">
      <c r="A291" s="25" t="s">
        <v>437</v>
      </c>
      <c r="B291" s="26" t="str">
        <f>IF(AND('Cleaned data'!S251&gt;2000,'Cleaned data'!U251&gt;0),"High Value","Normal")</f>
        <v>Normal</v>
      </c>
      <c r="C291" s="25" t="str">
        <f>IF(OR('Cleaned data'!O251&gt;0.3,'Cleaned data'!J251&lt;2),"Risky","Safe")</f>
        <v>Safe</v>
      </c>
      <c r="D291" s="25" t="str">
        <f>IF('Cleaned data'!R251="Delivered","Completed","Not Completed")</f>
        <v>Not Completed</v>
      </c>
      <c r="E291" s="25" t="str">
        <f>IF('Cleaned data'!J251&gt;=15,"Bulk Order",
 IF('Cleaned data'!J251&gt;=5,"Normal Order",
 "Small Order"))</f>
        <v>Bulk Order</v>
      </c>
    </row>
    <row r="292" spans="1:5" x14ac:dyDescent="0.35">
      <c r="A292" s="25" t="s">
        <v>439</v>
      </c>
      <c r="B292" s="26" t="str">
        <f>IF(AND('Cleaned data'!S252&gt;2000,'Cleaned data'!U252&gt;0),"High Value","Normal")</f>
        <v>Normal</v>
      </c>
      <c r="C292" s="25" t="str">
        <f>IF(OR('Cleaned data'!O252&gt;0.3,'Cleaned data'!J252&lt;2),"Risky","Safe")</f>
        <v>Safe</v>
      </c>
      <c r="D292" s="25" t="str">
        <f>IF('Cleaned data'!R252="Delivered","Completed","Not Completed")</f>
        <v>Not Completed</v>
      </c>
      <c r="E292" s="25" t="str">
        <f>IF('Cleaned data'!J252&gt;=15,"Bulk Order",
 IF('Cleaned data'!J252&gt;=5,"Normal Order",
 "Small Order"))</f>
        <v>Bulk Order</v>
      </c>
    </row>
    <row r="293" spans="1:5" x14ac:dyDescent="0.35">
      <c r="A293" s="25" t="s">
        <v>440</v>
      </c>
      <c r="B293" s="26" t="str">
        <f>IF(AND('Cleaned data'!S253&gt;2000,'Cleaned data'!U253&gt;0),"High Value","Normal")</f>
        <v>Normal</v>
      </c>
      <c r="C293" s="25" t="str">
        <f>IF(OR('Cleaned data'!O253&gt;0.3,'Cleaned data'!J253&lt;2),"Risky","Safe")</f>
        <v>Safe</v>
      </c>
      <c r="D293" s="25" t="str">
        <f>IF('Cleaned data'!R253="Delivered","Completed","Not Completed")</f>
        <v>Not Completed</v>
      </c>
      <c r="E293" s="25" t="str">
        <f>IF('Cleaned data'!J253&gt;=15,"Bulk Order",
 IF('Cleaned data'!J253&gt;=5,"Normal Order",
 "Small Order"))</f>
        <v>Bulk Order</v>
      </c>
    </row>
    <row r="294" spans="1:5" x14ac:dyDescent="0.35">
      <c r="A294" s="25" t="s">
        <v>442</v>
      </c>
      <c r="B294" s="26" t="str">
        <f>IF(AND('Cleaned data'!S254&gt;2000,'Cleaned data'!U254&gt;0),"High Value","Normal")</f>
        <v>Normal</v>
      </c>
      <c r="C294" s="25" t="str">
        <f>IF(OR('Cleaned data'!O254&gt;0.3,'Cleaned data'!J254&lt;2),"Risky","Safe")</f>
        <v>Safe</v>
      </c>
      <c r="D294" s="25" t="str">
        <f>IF('Cleaned data'!R254="Delivered","Completed","Not Completed")</f>
        <v>Completed</v>
      </c>
      <c r="E294" s="25" t="str">
        <f>IF('Cleaned data'!J254&gt;=15,"Bulk Order",
 IF('Cleaned data'!J254&gt;=5,"Normal Order",
 "Small Order"))</f>
        <v>Bulk Order</v>
      </c>
    </row>
    <row r="295" spans="1:5" x14ac:dyDescent="0.35">
      <c r="A295" s="25" t="s">
        <v>443</v>
      </c>
      <c r="B295" s="26" t="str">
        <f>IF(AND('Cleaned data'!S255&gt;2000,'Cleaned data'!U255&gt;0),"High Value","Normal")</f>
        <v>High Value</v>
      </c>
      <c r="C295" s="25" t="str">
        <f>IF(OR('Cleaned data'!O255&gt;0.3,'Cleaned data'!J255&lt;2),"Risky","Safe")</f>
        <v>Safe</v>
      </c>
      <c r="D295" s="25" t="str">
        <f>IF('Cleaned data'!R255="Delivered","Completed","Not Completed")</f>
        <v>Not Completed</v>
      </c>
      <c r="E295" s="25" t="str">
        <f>IF('Cleaned data'!J255&gt;=15,"Bulk Order",
 IF('Cleaned data'!J255&gt;=5,"Normal Order",
 "Small Order"))</f>
        <v>Bulk Order</v>
      </c>
    </row>
    <row r="296" spans="1:5" x14ac:dyDescent="0.35">
      <c r="A296" s="25" t="s">
        <v>444</v>
      </c>
      <c r="B296" s="26" t="str">
        <f>IF(AND('Cleaned data'!S256&gt;2000,'Cleaned data'!U256&gt;0),"High Value","Normal")</f>
        <v>Normal</v>
      </c>
      <c r="C296" s="25" t="str">
        <f>IF(OR('Cleaned data'!O256&gt;0.3,'Cleaned data'!J256&lt;2),"Risky","Safe")</f>
        <v>Safe</v>
      </c>
      <c r="D296" s="25" t="str">
        <f>IF('Cleaned data'!R256="Delivered","Completed","Not Completed")</f>
        <v>Completed</v>
      </c>
      <c r="E296" s="25" t="str">
        <f>IF('Cleaned data'!J256&gt;=15,"Bulk Order",
 IF('Cleaned data'!J256&gt;=5,"Normal Order",
 "Small Order"))</f>
        <v>Bulk Order</v>
      </c>
    </row>
    <row r="297" spans="1:5" x14ac:dyDescent="0.35">
      <c r="A297" s="25" t="s">
        <v>446</v>
      </c>
      <c r="B297" s="26" t="str">
        <f>IF(AND('Cleaned data'!S257&gt;2000,'Cleaned data'!U257&gt;0),"High Value","Normal")</f>
        <v>Normal</v>
      </c>
      <c r="C297" s="25" t="str">
        <f>IF(OR('Cleaned data'!O257&gt;0.3,'Cleaned data'!J257&lt;2),"Risky","Safe")</f>
        <v>Safe</v>
      </c>
      <c r="D297" s="25" t="str">
        <f>IF('Cleaned data'!R257="Delivered","Completed","Not Completed")</f>
        <v>Completed</v>
      </c>
      <c r="E297" s="25" t="str">
        <f>IF('Cleaned data'!J257&gt;=15,"Bulk Order",
 IF('Cleaned data'!J257&gt;=5,"Normal Order",
 "Small Order"))</f>
        <v>Normal Order</v>
      </c>
    </row>
    <row r="298" spans="1:5" x14ac:dyDescent="0.35">
      <c r="A298" s="25" t="s">
        <v>447</v>
      </c>
      <c r="B298" s="26" t="str">
        <f>IF(AND('Cleaned data'!S258&gt;2000,'Cleaned data'!U258&gt;0),"High Value","Normal")</f>
        <v>Normal</v>
      </c>
      <c r="C298" s="25" t="str">
        <f>IF(OR('Cleaned data'!O258&gt;0.3,'Cleaned data'!J258&lt;2),"Risky","Safe")</f>
        <v>Safe</v>
      </c>
      <c r="D298" s="25" t="str">
        <f>IF('Cleaned data'!R258="Delivered","Completed","Not Completed")</f>
        <v>Not Completed</v>
      </c>
      <c r="E298" s="25" t="str">
        <f>IF('Cleaned data'!J258&gt;=15,"Bulk Order",
 IF('Cleaned data'!J258&gt;=5,"Normal Order",
 "Small Order"))</f>
        <v>Bulk Order</v>
      </c>
    </row>
    <row r="299" spans="1:5" x14ac:dyDescent="0.35">
      <c r="A299" s="25" t="s">
        <v>449</v>
      </c>
      <c r="B299" s="26" t="str">
        <f>IF(AND('Cleaned data'!S259&gt;2000,'Cleaned data'!U259&gt;0),"High Value","Normal")</f>
        <v>Normal</v>
      </c>
      <c r="C299" s="25" t="str">
        <f>IF(OR('Cleaned data'!O259&gt;0.3,'Cleaned data'!J259&lt;2),"Risky","Safe")</f>
        <v>Safe</v>
      </c>
      <c r="D299" s="25" t="str">
        <f>IF('Cleaned data'!R259="Delivered","Completed","Not Completed")</f>
        <v>Not Completed</v>
      </c>
      <c r="E299" s="25" t="str">
        <f>IF('Cleaned data'!J259&gt;=15,"Bulk Order",
 IF('Cleaned data'!J259&gt;=5,"Normal Order",
 "Small Order"))</f>
        <v>Bulk Order</v>
      </c>
    </row>
    <row r="300" spans="1:5" x14ac:dyDescent="0.35">
      <c r="A300" s="25" t="s">
        <v>450</v>
      </c>
      <c r="B300" s="26" t="str">
        <f>IF(AND('Cleaned data'!S260&gt;2000,'Cleaned data'!U260&gt;0),"High Value","Normal")</f>
        <v>High Value</v>
      </c>
      <c r="C300" s="25" t="str">
        <f>IF(OR('Cleaned data'!O260&gt;0.3,'Cleaned data'!J260&lt;2),"Risky","Safe")</f>
        <v>Safe</v>
      </c>
      <c r="D300" s="25" t="str">
        <f>IF('Cleaned data'!R260="Delivered","Completed","Not Completed")</f>
        <v>Not Completed</v>
      </c>
      <c r="E300" s="25" t="str">
        <f>IF('Cleaned data'!J260&gt;=15,"Bulk Order",
 IF('Cleaned data'!J260&gt;=5,"Normal Order",
 "Small Order"))</f>
        <v>Bulk Order</v>
      </c>
    </row>
    <row r="301" spans="1:5" x14ac:dyDescent="0.35">
      <c r="A301" s="25" t="s">
        <v>451</v>
      </c>
      <c r="B301" s="26" t="str">
        <f>IF(AND('Cleaned data'!S261&gt;2000,'Cleaned data'!U261&gt;0),"High Value","Normal")</f>
        <v>High Value</v>
      </c>
      <c r="C301" s="25" t="str">
        <f>IF(OR('Cleaned data'!O261&gt;0.3,'Cleaned data'!J261&lt;2),"Risky","Safe")</f>
        <v>Safe</v>
      </c>
      <c r="D301" s="25" t="str">
        <f>IF('Cleaned data'!R261="Delivered","Completed","Not Completed")</f>
        <v>Not Completed</v>
      </c>
      <c r="E301" s="25" t="str">
        <f>IF('Cleaned data'!J261&gt;=15,"Bulk Order",
 IF('Cleaned data'!J261&gt;=5,"Normal Order",
 "Small Order"))</f>
        <v>Bulk Order</v>
      </c>
    </row>
    <row r="302" spans="1:5" x14ac:dyDescent="0.35">
      <c r="A302" s="25" t="s">
        <v>452</v>
      </c>
      <c r="B302" s="26" t="str">
        <f>IF(AND('Cleaned data'!S262&gt;2000,'Cleaned data'!U262&gt;0),"High Value","Normal")</f>
        <v>High Value</v>
      </c>
      <c r="C302" s="25" t="str">
        <f>IF(OR('Cleaned data'!O262&gt;0.3,'Cleaned data'!J262&lt;2),"Risky","Safe")</f>
        <v>Safe</v>
      </c>
      <c r="D302" s="25" t="str">
        <f>IF('Cleaned data'!R262="Delivered","Completed","Not Completed")</f>
        <v>Not Completed</v>
      </c>
      <c r="E302" s="25" t="str">
        <f>IF('Cleaned data'!J262&gt;=15,"Bulk Order",
 IF('Cleaned data'!J262&gt;=5,"Normal Order",
 "Small Order"))</f>
        <v>Normal Order</v>
      </c>
    </row>
    <row r="303" spans="1:5" x14ac:dyDescent="0.35">
      <c r="A303" s="25" t="s">
        <v>453</v>
      </c>
      <c r="B303" s="26" t="str">
        <f>IF(AND('Cleaned data'!S263&gt;2000,'Cleaned data'!U263&gt;0),"High Value","Normal")</f>
        <v>High Value</v>
      </c>
      <c r="C303" s="25" t="str">
        <f>IF(OR('Cleaned data'!O263&gt;0.3,'Cleaned data'!J263&lt;2),"Risky","Safe")</f>
        <v>Safe</v>
      </c>
      <c r="D303" s="25" t="str">
        <f>IF('Cleaned data'!R263="Delivered","Completed","Not Completed")</f>
        <v>Not Completed</v>
      </c>
      <c r="E303" s="25" t="str">
        <f>IF('Cleaned data'!J263&gt;=15,"Bulk Order",
 IF('Cleaned data'!J263&gt;=5,"Normal Order",
 "Small Order"))</f>
        <v>Bulk Order</v>
      </c>
    </row>
    <row r="304" spans="1:5" x14ac:dyDescent="0.35">
      <c r="A304" s="25" t="s">
        <v>455</v>
      </c>
      <c r="B304" s="26" t="str">
        <f>IF(AND('Cleaned data'!S264&gt;2000,'Cleaned data'!U264&gt;0),"High Value","Normal")</f>
        <v>High Value</v>
      </c>
      <c r="C304" s="25" t="str">
        <f>IF(OR('Cleaned data'!O264&gt;0.3,'Cleaned data'!J264&lt;2),"Risky","Safe")</f>
        <v>Safe</v>
      </c>
      <c r="D304" s="25" t="str">
        <f>IF('Cleaned data'!R264="Delivered","Completed","Not Completed")</f>
        <v>Not Completed</v>
      </c>
      <c r="E304" s="25" t="str">
        <f>IF('Cleaned data'!J264&gt;=15,"Bulk Order",
 IF('Cleaned data'!J264&gt;=5,"Normal Order",
 "Small Order"))</f>
        <v>Bulk Order</v>
      </c>
    </row>
    <row r="305" spans="1:5" x14ac:dyDescent="0.35">
      <c r="A305" s="25" t="s">
        <v>456</v>
      </c>
      <c r="B305" s="26" t="str">
        <f>IF(AND('Cleaned data'!S265&gt;2000,'Cleaned data'!U265&gt;0),"High Value","Normal")</f>
        <v>Normal</v>
      </c>
      <c r="C305" s="25" t="str">
        <f>IF(OR('Cleaned data'!O265&gt;0.3,'Cleaned data'!J265&lt;2),"Risky","Safe")</f>
        <v>Safe</v>
      </c>
      <c r="D305" s="25" t="str">
        <f>IF('Cleaned data'!R265="Delivered","Completed","Not Completed")</f>
        <v>Not Completed</v>
      </c>
      <c r="E305" s="25" t="str">
        <f>IF('Cleaned data'!J265&gt;=15,"Bulk Order",
 IF('Cleaned data'!J265&gt;=5,"Normal Order",
 "Small Order"))</f>
        <v>Bulk Order</v>
      </c>
    </row>
    <row r="306" spans="1:5" x14ac:dyDescent="0.35">
      <c r="A306" s="25" t="s">
        <v>457</v>
      </c>
      <c r="B306" s="26" t="str">
        <f>IF(AND('Cleaned data'!S266&gt;2000,'Cleaned data'!U266&gt;0),"High Value","Normal")</f>
        <v>Normal</v>
      </c>
      <c r="C306" s="25" t="str">
        <f>IF(OR('Cleaned data'!O266&gt;0.3,'Cleaned data'!J266&lt;2),"Risky","Safe")</f>
        <v>Safe</v>
      </c>
      <c r="D306" s="25" t="str">
        <f>IF('Cleaned data'!R266="Delivered","Completed","Not Completed")</f>
        <v>Not Completed</v>
      </c>
      <c r="E306" s="25" t="str">
        <f>IF('Cleaned data'!J266&gt;=15,"Bulk Order",
 IF('Cleaned data'!J266&gt;=5,"Normal Order",
 "Small Order"))</f>
        <v>Bulk Order</v>
      </c>
    </row>
    <row r="307" spans="1:5" x14ac:dyDescent="0.35">
      <c r="A307" s="25" t="s">
        <v>458</v>
      </c>
      <c r="B307" s="26" t="str">
        <f>IF(AND('Cleaned data'!S267&gt;2000,'Cleaned data'!U267&gt;0),"High Value","Normal")</f>
        <v>Normal</v>
      </c>
      <c r="C307" s="25" t="str">
        <f>IF(OR('Cleaned data'!O267&gt;0.3,'Cleaned data'!J267&lt;2),"Risky","Safe")</f>
        <v>Safe</v>
      </c>
      <c r="D307" s="25" t="str">
        <f>IF('Cleaned data'!R267="Delivered","Completed","Not Completed")</f>
        <v>Completed</v>
      </c>
      <c r="E307" s="25" t="str">
        <f>IF('Cleaned data'!J267&gt;=15,"Bulk Order",
 IF('Cleaned data'!J267&gt;=5,"Normal Order",
 "Small Order"))</f>
        <v>Normal Order</v>
      </c>
    </row>
    <row r="308" spans="1:5" x14ac:dyDescent="0.35">
      <c r="A308" s="25" t="s">
        <v>459</v>
      </c>
      <c r="B308" s="26" t="str">
        <f>IF(AND('Cleaned data'!S268&gt;2000,'Cleaned data'!U268&gt;0),"High Value","Normal")</f>
        <v>Normal</v>
      </c>
      <c r="C308" s="25" t="str">
        <f>IF(OR('Cleaned data'!O268&gt;0.3,'Cleaned data'!J268&lt;2),"Risky","Safe")</f>
        <v>Safe</v>
      </c>
      <c r="D308" s="25" t="str">
        <f>IF('Cleaned data'!R268="Delivered","Completed","Not Completed")</f>
        <v>Completed</v>
      </c>
      <c r="E308" s="25" t="str">
        <f>IF('Cleaned data'!J268&gt;=15,"Bulk Order",
 IF('Cleaned data'!J268&gt;=5,"Normal Order",
 "Small Order"))</f>
        <v>Bulk Order</v>
      </c>
    </row>
    <row r="309" spans="1:5" x14ac:dyDescent="0.35">
      <c r="A309" s="25" t="s">
        <v>460</v>
      </c>
      <c r="B309" s="26" t="str">
        <f>IF(AND('Cleaned data'!S269&gt;2000,'Cleaned data'!U269&gt;0),"High Value","Normal")</f>
        <v>High Value</v>
      </c>
      <c r="C309" s="25" t="str">
        <f>IF(OR('Cleaned data'!O269&gt;0.3,'Cleaned data'!J269&lt;2),"Risky","Safe")</f>
        <v>Safe</v>
      </c>
      <c r="D309" s="25" t="str">
        <f>IF('Cleaned data'!R269="Delivered","Completed","Not Completed")</f>
        <v>Not Completed</v>
      </c>
      <c r="E309" s="25" t="str">
        <f>IF('Cleaned data'!J269&gt;=15,"Bulk Order",
 IF('Cleaned data'!J269&gt;=5,"Normal Order",
 "Small Order"))</f>
        <v>Normal Order</v>
      </c>
    </row>
    <row r="310" spans="1:5" x14ac:dyDescent="0.35">
      <c r="A310" s="25" t="s">
        <v>461</v>
      </c>
      <c r="B310" s="26" t="str">
        <f>IF(AND('Cleaned data'!S270&gt;2000,'Cleaned data'!U270&gt;0),"High Value","Normal")</f>
        <v>High Value</v>
      </c>
      <c r="C310" s="25" t="str">
        <f>IF(OR('Cleaned data'!O270&gt;0.3,'Cleaned data'!J270&lt;2),"Risky","Safe")</f>
        <v>Safe</v>
      </c>
      <c r="D310" s="25" t="str">
        <f>IF('Cleaned data'!R270="Delivered","Completed","Not Completed")</f>
        <v>Not Completed</v>
      </c>
      <c r="E310" s="25" t="str">
        <f>IF('Cleaned data'!J270&gt;=15,"Bulk Order",
 IF('Cleaned data'!J270&gt;=5,"Normal Order",
 "Small Order"))</f>
        <v>Bulk Order</v>
      </c>
    </row>
    <row r="311" spans="1:5" x14ac:dyDescent="0.35">
      <c r="A311" s="25" t="s">
        <v>462</v>
      </c>
      <c r="B311" s="26" t="str">
        <f>IF(AND('Cleaned data'!S271&gt;2000,'Cleaned data'!U271&gt;0),"High Value","Normal")</f>
        <v>Normal</v>
      </c>
      <c r="C311" s="25" t="str">
        <f>IF(OR('Cleaned data'!O271&gt;0.3,'Cleaned data'!J271&lt;2),"Risky","Safe")</f>
        <v>Safe</v>
      </c>
      <c r="D311" s="25" t="str">
        <f>IF('Cleaned data'!R271="Delivered","Completed","Not Completed")</f>
        <v>Not Completed</v>
      </c>
      <c r="E311" s="25" t="str">
        <f>IF('Cleaned data'!J271&gt;=15,"Bulk Order",
 IF('Cleaned data'!J271&gt;=5,"Normal Order",
 "Small Order"))</f>
        <v>Bulk Order</v>
      </c>
    </row>
    <row r="312" spans="1:5" x14ac:dyDescent="0.35">
      <c r="A312" s="25" t="s">
        <v>463</v>
      </c>
      <c r="B312" s="26" t="str">
        <f>IF(AND('Cleaned data'!S272&gt;2000,'Cleaned data'!U272&gt;0),"High Value","Normal")</f>
        <v>High Value</v>
      </c>
      <c r="C312" s="25" t="str">
        <f>IF(OR('Cleaned data'!O272&gt;0.3,'Cleaned data'!J272&lt;2),"Risky","Safe")</f>
        <v>Safe</v>
      </c>
      <c r="D312" s="25" t="str">
        <f>IF('Cleaned data'!R272="Delivered","Completed","Not Completed")</f>
        <v>Completed</v>
      </c>
      <c r="E312" s="25" t="str">
        <f>IF('Cleaned data'!J272&gt;=15,"Bulk Order",
 IF('Cleaned data'!J272&gt;=5,"Normal Order",
 "Small Order"))</f>
        <v>Normal Order</v>
      </c>
    </row>
    <row r="313" spans="1:5" x14ac:dyDescent="0.35">
      <c r="A313" s="25" t="s">
        <v>465</v>
      </c>
      <c r="B313" s="26" t="str">
        <f>IF(AND('Cleaned data'!S273&gt;2000,'Cleaned data'!U273&gt;0),"High Value","Normal")</f>
        <v>Normal</v>
      </c>
      <c r="C313" s="25" t="str">
        <f>IF(OR('Cleaned data'!O273&gt;0.3,'Cleaned data'!J273&lt;2),"Risky","Safe")</f>
        <v>Safe</v>
      </c>
      <c r="D313" s="25" t="str">
        <f>IF('Cleaned data'!R273="Delivered","Completed","Not Completed")</f>
        <v>Completed</v>
      </c>
      <c r="E313" s="25" t="str">
        <f>IF('Cleaned data'!J273&gt;=15,"Bulk Order",
 IF('Cleaned data'!J273&gt;=5,"Normal Order",
 "Small Order"))</f>
        <v>Bulk Order</v>
      </c>
    </row>
    <row r="314" spans="1:5" x14ac:dyDescent="0.35">
      <c r="A314" s="25" t="s">
        <v>466</v>
      </c>
      <c r="B314" s="26" t="str">
        <f>IF(AND('Cleaned data'!S274&gt;2000,'Cleaned data'!U274&gt;0),"High Value","Normal")</f>
        <v>Normal</v>
      </c>
      <c r="C314" s="25" t="str">
        <f>IF(OR('Cleaned data'!O274&gt;0.3,'Cleaned data'!J274&lt;2),"Risky","Safe")</f>
        <v>Safe</v>
      </c>
      <c r="D314" s="25" t="str">
        <f>IF('Cleaned data'!R274="Delivered","Completed","Not Completed")</f>
        <v>Not Completed</v>
      </c>
      <c r="E314" s="25" t="str">
        <f>IF('Cleaned data'!J274&gt;=15,"Bulk Order",
 IF('Cleaned data'!J274&gt;=5,"Normal Order",
 "Small Order"))</f>
        <v>Normal Order</v>
      </c>
    </row>
    <row r="315" spans="1:5" x14ac:dyDescent="0.35">
      <c r="A315" s="25" t="s">
        <v>468</v>
      </c>
      <c r="B315" s="26" t="str">
        <f>IF(AND('Cleaned data'!S275&gt;2000,'Cleaned data'!U275&gt;0),"High Value","Normal")</f>
        <v>Normal</v>
      </c>
      <c r="C315" s="25" t="str">
        <f>IF(OR('Cleaned data'!O275&gt;0.3,'Cleaned data'!J275&lt;2),"Risky","Safe")</f>
        <v>Safe</v>
      </c>
      <c r="D315" s="25" t="str">
        <f>IF('Cleaned data'!R275="Delivered","Completed","Not Completed")</f>
        <v>Completed</v>
      </c>
      <c r="E315" s="25" t="str">
        <f>IF('Cleaned data'!J275&gt;=15,"Bulk Order",
 IF('Cleaned data'!J275&gt;=5,"Normal Order",
 "Small Order"))</f>
        <v>Bulk Order</v>
      </c>
    </row>
    <row r="316" spans="1:5" x14ac:dyDescent="0.35">
      <c r="A316" s="25" t="s">
        <v>469</v>
      </c>
      <c r="B316" s="26" t="str">
        <f>IF(AND('Cleaned data'!S276&gt;2000,'Cleaned data'!U276&gt;0),"High Value","Normal")</f>
        <v>High Value</v>
      </c>
      <c r="C316" s="25" t="str">
        <f>IF(OR('Cleaned data'!O276&gt;0.3,'Cleaned data'!J276&lt;2),"Risky","Safe")</f>
        <v>Safe</v>
      </c>
      <c r="D316" s="25" t="str">
        <f>IF('Cleaned data'!R276="Delivered","Completed","Not Completed")</f>
        <v>Not Completed</v>
      </c>
      <c r="E316" s="25" t="str">
        <f>IF('Cleaned data'!J276&gt;=15,"Bulk Order",
 IF('Cleaned data'!J276&gt;=5,"Normal Order",
 "Small Order"))</f>
        <v>Bulk Order</v>
      </c>
    </row>
    <row r="317" spans="1:5" x14ac:dyDescent="0.35">
      <c r="A317" s="25" t="s">
        <v>470</v>
      </c>
      <c r="B317" s="26" t="str">
        <f>IF(AND('Cleaned data'!S277&gt;2000,'Cleaned data'!U277&gt;0),"High Value","Normal")</f>
        <v>Normal</v>
      </c>
      <c r="C317" s="25" t="str">
        <f>IF(OR('Cleaned data'!O277&gt;0.3,'Cleaned data'!J277&lt;2),"Risky","Safe")</f>
        <v>Safe</v>
      </c>
      <c r="D317" s="25" t="str">
        <f>IF('Cleaned data'!R277="Delivered","Completed","Not Completed")</f>
        <v>Completed</v>
      </c>
      <c r="E317" s="25" t="str">
        <f>IF('Cleaned data'!J277&gt;=15,"Bulk Order",
 IF('Cleaned data'!J277&gt;=5,"Normal Order",
 "Small Order"))</f>
        <v>Normal Order</v>
      </c>
    </row>
    <row r="318" spans="1:5" x14ac:dyDescent="0.35">
      <c r="A318" s="25" t="s">
        <v>471</v>
      </c>
      <c r="B318" s="26" t="str">
        <f>IF(AND('Cleaned data'!S278&gt;2000,'Cleaned data'!U278&gt;0),"High Value","Normal")</f>
        <v>Normal</v>
      </c>
      <c r="C318" s="25" t="str">
        <f>IF(OR('Cleaned data'!O278&gt;0.3,'Cleaned data'!J278&lt;2),"Risky","Safe")</f>
        <v>Safe</v>
      </c>
      <c r="D318" s="25" t="str">
        <f>IF('Cleaned data'!R278="Delivered","Completed","Not Completed")</f>
        <v>Completed</v>
      </c>
      <c r="E318" s="25" t="str">
        <f>IF('Cleaned data'!J278&gt;=15,"Bulk Order",
 IF('Cleaned data'!J278&gt;=5,"Normal Order",
 "Small Order"))</f>
        <v>Bulk Order</v>
      </c>
    </row>
    <row r="319" spans="1:5" x14ac:dyDescent="0.35">
      <c r="A319" s="25" t="s">
        <v>472</v>
      </c>
      <c r="B319" s="26" t="str">
        <f>IF(AND('Cleaned data'!S279&gt;2000,'Cleaned data'!U279&gt;0),"High Value","Normal")</f>
        <v>Normal</v>
      </c>
      <c r="C319" s="25" t="str">
        <f>IF(OR('Cleaned data'!O279&gt;0.3,'Cleaned data'!J279&lt;2),"Risky","Safe")</f>
        <v>Safe</v>
      </c>
      <c r="D319" s="25" t="str">
        <f>IF('Cleaned data'!R279="Delivered","Completed","Not Completed")</f>
        <v>Not Completed</v>
      </c>
      <c r="E319" s="25" t="str">
        <f>IF('Cleaned data'!J279&gt;=15,"Bulk Order",
 IF('Cleaned data'!J279&gt;=5,"Normal Order",
 "Small Order"))</f>
        <v>Bulk Order</v>
      </c>
    </row>
    <row r="320" spans="1:5" x14ac:dyDescent="0.35">
      <c r="A320" s="25" t="s">
        <v>474</v>
      </c>
      <c r="B320" s="26" t="str">
        <f>IF(AND('Cleaned data'!S280&gt;2000,'Cleaned data'!U280&gt;0),"High Value","Normal")</f>
        <v>Normal</v>
      </c>
      <c r="C320" s="25" t="str">
        <f>IF(OR('Cleaned data'!O280&gt;0.3,'Cleaned data'!J280&lt;2),"Risky","Safe")</f>
        <v>Safe</v>
      </c>
      <c r="D320" s="25" t="str">
        <f>IF('Cleaned data'!R280="Delivered","Completed","Not Completed")</f>
        <v>Completed</v>
      </c>
      <c r="E320" s="25" t="str">
        <f>IF('Cleaned data'!J280&gt;=15,"Bulk Order",
 IF('Cleaned data'!J280&gt;=5,"Normal Order",
 "Small Order"))</f>
        <v>Bulk Order</v>
      </c>
    </row>
    <row r="321" spans="1:5" x14ac:dyDescent="0.35">
      <c r="A321" s="25" t="s">
        <v>475</v>
      </c>
      <c r="B321" s="26" t="str">
        <f>IF(AND('Cleaned data'!S281&gt;2000,'Cleaned data'!U281&gt;0),"High Value","Normal")</f>
        <v>Normal</v>
      </c>
      <c r="C321" s="25" t="str">
        <f>IF(OR('Cleaned data'!O281&gt;0.3,'Cleaned data'!J281&lt;2),"Risky","Safe")</f>
        <v>Safe</v>
      </c>
      <c r="D321" s="25" t="str">
        <f>IF('Cleaned data'!R281="Delivered","Completed","Not Completed")</f>
        <v>Completed</v>
      </c>
      <c r="E321" s="25" t="str">
        <f>IF('Cleaned data'!J281&gt;=15,"Bulk Order",
 IF('Cleaned data'!J281&gt;=5,"Normal Order",
 "Small Order"))</f>
        <v>Normal Order</v>
      </c>
    </row>
    <row r="322" spans="1:5" x14ac:dyDescent="0.35">
      <c r="A322" s="25" t="s">
        <v>476</v>
      </c>
      <c r="B322" s="26" t="str">
        <f>IF(AND('Cleaned data'!S282&gt;2000,'Cleaned data'!U282&gt;0),"High Value","Normal")</f>
        <v>Normal</v>
      </c>
      <c r="C322" s="25" t="str">
        <f>IF(OR('Cleaned data'!O282&gt;0.3,'Cleaned data'!J282&lt;2),"Risky","Safe")</f>
        <v>Safe</v>
      </c>
      <c r="D322" s="25" t="str">
        <f>IF('Cleaned data'!R282="Delivered","Completed","Not Completed")</f>
        <v>Not Completed</v>
      </c>
      <c r="E322" s="25" t="str">
        <f>IF('Cleaned data'!J282&gt;=15,"Bulk Order",
 IF('Cleaned data'!J282&gt;=5,"Normal Order",
 "Small Order"))</f>
        <v>Normal Order</v>
      </c>
    </row>
    <row r="323" spans="1:5" x14ac:dyDescent="0.35">
      <c r="A323" s="25" t="s">
        <v>477</v>
      </c>
      <c r="B323" s="26" t="str">
        <f>IF(AND('Cleaned data'!S283&gt;2000,'Cleaned data'!U283&gt;0),"High Value","Normal")</f>
        <v>High Value</v>
      </c>
      <c r="C323" s="25" t="str">
        <f>IF(OR('Cleaned data'!O283&gt;0.3,'Cleaned data'!J283&lt;2),"Risky","Safe")</f>
        <v>Safe</v>
      </c>
      <c r="D323" s="25" t="str">
        <f>IF('Cleaned data'!R283="Delivered","Completed","Not Completed")</f>
        <v>Completed</v>
      </c>
      <c r="E323" s="25" t="str">
        <f>IF('Cleaned data'!J283&gt;=15,"Bulk Order",
 IF('Cleaned data'!J283&gt;=5,"Normal Order",
 "Small Order"))</f>
        <v>Bulk Order</v>
      </c>
    </row>
    <row r="324" spans="1:5" x14ac:dyDescent="0.35">
      <c r="A324" s="25" t="s">
        <v>478</v>
      </c>
      <c r="B324" s="26" t="str">
        <f>IF(AND('Cleaned data'!S284&gt;2000,'Cleaned data'!U284&gt;0),"High Value","Normal")</f>
        <v>Normal</v>
      </c>
      <c r="C324" s="25" t="str">
        <f>IF(OR('Cleaned data'!O284&gt;0.3,'Cleaned data'!J284&lt;2),"Risky","Safe")</f>
        <v>Safe</v>
      </c>
      <c r="D324" s="25" t="str">
        <f>IF('Cleaned data'!R284="Delivered","Completed","Not Completed")</f>
        <v>Not Completed</v>
      </c>
      <c r="E324" s="25" t="str">
        <f>IF('Cleaned data'!J284&gt;=15,"Bulk Order",
 IF('Cleaned data'!J284&gt;=5,"Normal Order",
 "Small Order"))</f>
        <v>Bulk Order</v>
      </c>
    </row>
    <row r="325" spans="1:5" x14ac:dyDescent="0.35">
      <c r="A325" s="25" t="s">
        <v>479</v>
      </c>
      <c r="B325" s="26" t="str">
        <f>IF(AND('Cleaned data'!S285&gt;2000,'Cleaned data'!U285&gt;0),"High Value","Normal")</f>
        <v>High Value</v>
      </c>
      <c r="C325" s="25" t="str">
        <f>IF(OR('Cleaned data'!O285&gt;0.3,'Cleaned data'!J285&lt;2),"Risky","Safe")</f>
        <v>Safe</v>
      </c>
      <c r="D325" s="25" t="str">
        <f>IF('Cleaned data'!R285="Delivered","Completed","Not Completed")</f>
        <v>Completed</v>
      </c>
      <c r="E325" s="25" t="str">
        <f>IF('Cleaned data'!J285&gt;=15,"Bulk Order",
 IF('Cleaned data'!J285&gt;=5,"Normal Order",
 "Small Order"))</f>
        <v>Bulk Order</v>
      </c>
    </row>
    <row r="326" spans="1:5" x14ac:dyDescent="0.35">
      <c r="A326" s="25" t="s">
        <v>480</v>
      </c>
      <c r="B326" s="26" t="str">
        <f>IF(AND('Cleaned data'!S286&gt;2000,'Cleaned data'!U286&gt;0),"High Value","Normal")</f>
        <v>Normal</v>
      </c>
      <c r="C326" s="25" t="str">
        <f>IF(OR('Cleaned data'!O286&gt;0.3,'Cleaned data'!J286&lt;2),"Risky","Safe")</f>
        <v>Safe</v>
      </c>
      <c r="D326" s="25" t="str">
        <f>IF('Cleaned data'!R286="Delivered","Completed","Not Completed")</f>
        <v>Completed</v>
      </c>
      <c r="E326" s="25" t="str">
        <f>IF('Cleaned data'!J286&gt;=15,"Bulk Order",
 IF('Cleaned data'!J286&gt;=5,"Normal Order",
 "Small Order"))</f>
        <v>Bulk Order</v>
      </c>
    </row>
    <row r="327" spans="1:5" x14ac:dyDescent="0.35">
      <c r="A327" s="25" t="s">
        <v>481</v>
      </c>
      <c r="B327" s="26" t="str">
        <f>IF(AND('Cleaned data'!S287&gt;2000,'Cleaned data'!U287&gt;0),"High Value","Normal")</f>
        <v>High Value</v>
      </c>
      <c r="C327" s="25" t="str">
        <f>IF(OR('Cleaned data'!O287&gt;0.3,'Cleaned data'!J287&lt;2),"Risky","Safe")</f>
        <v>Safe</v>
      </c>
      <c r="D327" s="25" t="str">
        <f>IF('Cleaned data'!R287="Delivered","Completed","Not Completed")</f>
        <v>Not Completed</v>
      </c>
      <c r="E327" s="25" t="str">
        <f>IF('Cleaned data'!J287&gt;=15,"Bulk Order",
 IF('Cleaned data'!J287&gt;=5,"Normal Order",
 "Small Order"))</f>
        <v>Bulk Order</v>
      </c>
    </row>
    <row r="328" spans="1:5" x14ac:dyDescent="0.35">
      <c r="A328" s="25" t="s">
        <v>482</v>
      </c>
      <c r="B328" s="26" t="str">
        <f>IF(AND('Cleaned data'!S288&gt;2000,'Cleaned data'!U288&gt;0),"High Value","Normal")</f>
        <v>Normal</v>
      </c>
      <c r="C328" s="25" t="str">
        <f>IF(OR('Cleaned data'!O288&gt;0.3,'Cleaned data'!J288&lt;2),"Risky","Safe")</f>
        <v>Safe</v>
      </c>
      <c r="D328" s="25" t="str">
        <f>IF('Cleaned data'!R288="Delivered","Completed","Not Completed")</f>
        <v>Not Completed</v>
      </c>
      <c r="E328" s="25" t="str">
        <f>IF('Cleaned data'!J288&gt;=15,"Bulk Order",
 IF('Cleaned data'!J288&gt;=5,"Normal Order",
 "Small Order"))</f>
        <v>Bulk Order</v>
      </c>
    </row>
    <row r="329" spans="1:5" x14ac:dyDescent="0.35">
      <c r="A329" s="25" t="s">
        <v>483</v>
      </c>
      <c r="B329" s="26" t="str">
        <f>IF(AND('Cleaned data'!S289&gt;2000,'Cleaned data'!U289&gt;0),"High Value","Normal")</f>
        <v>Normal</v>
      </c>
      <c r="C329" s="25" t="str">
        <f>IF(OR('Cleaned data'!O289&gt;0.3,'Cleaned data'!J289&lt;2),"Risky","Safe")</f>
        <v>Safe</v>
      </c>
      <c r="D329" s="25" t="str">
        <f>IF('Cleaned data'!R289="Delivered","Completed","Not Completed")</f>
        <v>Not Completed</v>
      </c>
      <c r="E329" s="25" t="str">
        <f>IF('Cleaned data'!J289&gt;=15,"Bulk Order",
 IF('Cleaned data'!J289&gt;=5,"Normal Order",
 "Small Order"))</f>
        <v>Bulk Order</v>
      </c>
    </row>
    <row r="330" spans="1:5" x14ac:dyDescent="0.35">
      <c r="A330" s="25" t="s">
        <v>484</v>
      </c>
      <c r="B330" s="26" t="str">
        <f>IF(AND('Cleaned data'!S290&gt;2000,'Cleaned data'!U290&gt;0),"High Value","Normal")</f>
        <v>High Value</v>
      </c>
      <c r="C330" s="25" t="str">
        <f>IF(OR('Cleaned data'!O290&gt;0.3,'Cleaned data'!J290&lt;2),"Risky","Safe")</f>
        <v>Safe</v>
      </c>
      <c r="D330" s="25" t="str">
        <f>IF('Cleaned data'!R290="Delivered","Completed","Not Completed")</f>
        <v>Not Completed</v>
      </c>
      <c r="E330" s="25" t="str">
        <f>IF('Cleaned data'!J290&gt;=15,"Bulk Order",
 IF('Cleaned data'!J290&gt;=5,"Normal Order",
 "Small Order"))</f>
        <v>Normal Order</v>
      </c>
    </row>
    <row r="331" spans="1:5" x14ac:dyDescent="0.35">
      <c r="A331" s="25" t="s">
        <v>485</v>
      </c>
      <c r="B331" s="26" t="str">
        <f>IF(AND('Cleaned data'!S291&gt;2000,'Cleaned data'!U291&gt;0),"High Value","Normal")</f>
        <v>High Value</v>
      </c>
      <c r="C331" s="25" t="str">
        <f>IF(OR('Cleaned data'!O291&gt;0.3,'Cleaned data'!J291&lt;2),"Risky","Safe")</f>
        <v>Safe</v>
      </c>
      <c r="D331" s="25" t="str">
        <f>IF('Cleaned data'!R291="Delivered","Completed","Not Completed")</f>
        <v>Not Completed</v>
      </c>
      <c r="E331" s="25" t="str">
        <f>IF('Cleaned data'!J291&gt;=15,"Bulk Order",
 IF('Cleaned data'!J291&gt;=5,"Normal Order",
 "Small Order"))</f>
        <v>Bulk Order</v>
      </c>
    </row>
    <row r="332" spans="1:5" x14ac:dyDescent="0.35">
      <c r="A332" s="25" t="s">
        <v>486</v>
      </c>
      <c r="B332" s="26" t="str">
        <f>IF(AND('Cleaned data'!S292&gt;2000,'Cleaned data'!U292&gt;0),"High Value","Normal")</f>
        <v>High Value</v>
      </c>
      <c r="C332" s="25" t="str">
        <f>IF(OR('Cleaned data'!O292&gt;0.3,'Cleaned data'!J292&lt;2),"Risky","Safe")</f>
        <v>Safe</v>
      </c>
      <c r="D332" s="25" t="str">
        <f>IF('Cleaned data'!R292="Delivered","Completed","Not Completed")</f>
        <v>Not Completed</v>
      </c>
      <c r="E332" s="25" t="str">
        <f>IF('Cleaned data'!J292&gt;=15,"Bulk Order",
 IF('Cleaned data'!J292&gt;=5,"Normal Order",
 "Small Order"))</f>
        <v>Bulk Order</v>
      </c>
    </row>
    <row r="333" spans="1:5" x14ac:dyDescent="0.35">
      <c r="A333" s="25" t="s">
        <v>487</v>
      </c>
      <c r="B333" s="26" t="str">
        <f>IF(AND('Cleaned data'!S293&gt;2000,'Cleaned data'!U293&gt;0),"High Value","Normal")</f>
        <v>Normal</v>
      </c>
      <c r="C333" s="25" t="str">
        <f>IF(OR('Cleaned data'!O293&gt;0.3,'Cleaned data'!J293&lt;2),"Risky","Safe")</f>
        <v>Safe</v>
      </c>
      <c r="D333" s="25" t="str">
        <f>IF('Cleaned data'!R293="Delivered","Completed","Not Completed")</f>
        <v>Completed</v>
      </c>
      <c r="E333" s="25" t="str">
        <f>IF('Cleaned data'!J293&gt;=15,"Bulk Order",
 IF('Cleaned data'!J293&gt;=5,"Normal Order",
 "Small Order"))</f>
        <v>Normal Order</v>
      </c>
    </row>
    <row r="334" spans="1:5" x14ac:dyDescent="0.35">
      <c r="A334" s="25" t="s">
        <v>488</v>
      </c>
      <c r="B334" s="26" t="str">
        <f>IF(AND('Cleaned data'!S294&gt;2000,'Cleaned data'!U294&gt;0),"High Value","Normal")</f>
        <v>Normal</v>
      </c>
      <c r="C334" s="25" t="str">
        <f>IF(OR('Cleaned data'!O294&gt;0.3,'Cleaned data'!J294&lt;2),"Risky","Safe")</f>
        <v>Safe</v>
      </c>
      <c r="D334" s="25" t="str">
        <f>IF('Cleaned data'!R294="Delivered","Completed","Not Completed")</f>
        <v>Not Completed</v>
      </c>
      <c r="E334" s="25" t="str">
        <f>IF('Cleaned data'!J294&gt;=15,"Bulk Order",
 IF('Cleaned data'!J294&gt;=5,"Normal Order",
 "Small Order"))</f>
        <v>Normal Order</v>
      </c>
    </row>
    <row r="335" spans="1:5" x14ac:dyDescent="0.35">
      <c r="A335" s="25" t="s">
        <v>489</v>
      </c>
      <c r="B335" s="26" t="str">
        <f>IF(AND('Cleaned data'!S295&gt;2000,'Cleaned data'!U295&gt;0),"High Value","Normal")</f>
        <v>Normal</v>
      </c>
      <c r="C335" s="25" t="str">
        <f>IF(OR('Cleaned data'!O295&gt;0.3,'Cleaned data'!J295&lt;2),"Risky","Safe")</f>
        <v>Safe</v>
      </c>
      <c r="D335" s="25" t="str">
        <f>IF('Cleaned data'!R295="Delivered","Completed","Not Completed")</f>
        <v>Not Completed</v>
      </c>
      <c r="E335" s="25" t="str">
        <f>IF('Cleaned data'!J295&gt;=15,"Bulk Order",
 IF('Cleaned data'!J295&gt;=5,"Normal Order",
 "Small Order"))</f>
        <v>Bulk Order</v>
      </c>
    </row>
    <row r="336" spans="1:5" x14ac:dyDescent="0.35">
      <c r="A336" s="25" t="s">
        <v>490</v>
      </c>
      <c r="B336" s="26" t="str">
        <f>IF(AND('Cleaned data'!S296&gt;2000,'Cleaned data'!U296&gt;0),"High Value","Normal")</f>
        <v>Normal</v>
      </c>
      <c r="C336" s="25" t="str">
        <f>IF(OR('Cleaned data'!O296&gt;0.3,'Cleaned data'!J296&lt;2),"Risky","Safe")</f>
        <v>Safe</v>
      </c>
      <c r="D336" s="25" t="str">
        <f>IF('Cleaned data'!R296="Delivered","Completed","Not Completed")</f>
        <v>Not Completed</v>
      </c>
      <c r="E336" s="25" t="str">
        <f>IF('Cleaned data'!J296&gt;=15,"Bulk Order",
 IF('Cleaned data'!J296&gt;=5,"Normal Order",
 "Small Order"))</f>
        <v>Small Order</v>
      </c>
    </row>
    <row r="337" spans="1:5" x14ac:dyDescent="0.35">
      <c r="A337" s="25" t="s">
        <v>491</v>
      </c>
      <c r="B337" s="26" t="str">
        <f>IF(AND('Cleaned data'!S297&gt;2000,'Cleaned data'!U297&gt;0),"High Value","Normal")</f>
        <v>High Value</v>
      </c>
      <c r="C337" s="25" t="str">
        <f>IF(OR('Cleaned data'!O297&gt;0.3,'Cleaned data'!J297&lt;2),"Risky","Safe")</f>
        <v>Safe</v>
      </c>
      <c r="D337" s="25" t="str">
        <f>IF('Cleaned data'!R297="Delivered","Completed","Not Completed")</f>
        <v>Not Completed</v>
      </c>
      <c r="E337" s="25" t="str">
        <f>IF('Cleaned data'!J297&gt;=15,"Bulk Order",
 IF('Cleaned data'!J297&gt;=5,"Normal Order",
 "Small Order"))</f>
        <v>Bulk Order</v>
      </c>
    </row>
    <row r="338" spans="1:5" x14ac:dyDescent="0.35">
      <c r="A338" s="25" t="s">
        <v>492</v>
      </c>
      <c r="B338" s="26" t="str">
        <f>IF(AND('Cleaned data'!S298&gt;2000,'Cleaned data'!U298&gt;0),"High Value","Normal")</f>
        <v>High Value</v>
      </c>
      <c r="C338" s="25" t="str">
        <f>IF(OR('Cleaned data'!O298&gt;0.3,'Cleaned data'!J298&lt;2),"Risky","Safe")</f>
        <v>Safe</v>
      </c>
      <c r="D338" s="25" t="str">
        <f>IF('Cleaned data'!R298="Delivered","Completed","Not Completed")</f>
        <v>Completed</v>
      </c>
      <c r="E338" s="25" t="str">
        <f>IF('Cleaned data'!J298&gt;=15,"Bulk Order",
 IF('Cleaned data'!J298&gt;=5,"Normal Order",
 "Small Order"))</f>
        <v>Normal Order</v>
      </c>
    </row>
    <row r="339" spans="1:5" x14ac:dyDescent="0.35">
      <c r="A339" s="25" t="s">
        <v>494</v>
      </c>
      <c r="B339" s="26" t="str">
        <f>IF(AND('Cleaned data'!S299&gt;2000,'Cleaned data'!U299&gt;0),"High Value","Normal")</f>
        <v>Normal</v>
      </c>
      <c r="C339" s="25" t="str">
        <f>IF(OR('Cleaned data'!O299&gt;0.3,'Cleaned data'!J299&lt;2),"Risky","Safe")</f>
        <v>Safe</v>
      </c>
      <c r="D339" s="25" t="str">
        <f>IF('Cleaned data'!R299="Delivered","Completed","Not Completed")</f>
        <v>Not Completed</v>
      </c>
      <c r="E339" s="25" t="str">
        <f>IF('Cleaned data'!J299&gt;=15,"Bulk Order",
 IF('Cleaned data'!J299&gt;=5,"Normal Order",
 "Small Order"))</f>
        <v>Normal Order</v>
      </c>
    </row>
    <row r="340" spans="1:5" x14ac:dyDescent="0.35">
      <c r="A340" s="25" t="s">
        <v>495</v>
      </c>
      <c r="B340" s="26" t="str">
        <f>IF(AND('Cleaned data'!S300&gt;2000,'Cleaned data'!U300&gt;0),"High Value","Normal")</f>
        <v>Normal</v>
      </c>
      <c r="C340" s="25" t="str">
        <f>IF(OR('Cleaned data'!O300&gt;0.3,'Cleaned data'!J300&lt;2),"Risky","Safe")</f>
        <v>Safe</v>
      </c>
      <c r="D340" s="25" t="str">
        <f>IF('Cleaned data'!R300="Delivered","Completed","Not Completed")</f>
        <v>Completed</v>
      </c>
      <c r="E340" s="25" t="str">
        <f>IF('Cleaned data'!J300&gt;=15,"Bulk Order",
 IF('Cleaned data'!J300&gt;=5,"Normal Order",
 "Small Order"))</f>
        <v>Normal Order</v>
      </c>
    </row>
    <row r="341" spans="1:5" x14ac:dyDescent="0.35">
      <c r="A341" s="25" t="s">
        <v>496</v>
      </c>
      <c r="B341" s="26" t="str">
        <f>IF(AND('Cleaned data'!S301&gt;2000,'Cleaned data'!U301&gt;0),"High Value","Normal")</f>
        <v>High Value</v>
      </c>
      <c r="C341" s="25" t="str">
        <f>IF(OR('Cleaned data'!O301&gt;0.3,'Cleaned data'!J301&lt;2),"Risky","Safe")</f>
        <v>Safe</v>
      </c>
      <c r="D341" s="25" t="str">
        <f>IF('Cleaned data'!R301="Delivered","Completed","Not Completed")</f>
        <v>Completed</v>
      </c>
      <c r="E341" s="25" t="str">
        <f>IF('Cleaned data'!J301&gt;=15,"Bulk Order",
 IF('Cleaned data'!J301&gt;=5,"Normal Order",
 "Small Order"))</f>
        <v>Normal Order</v>
      </c>
    </row>
  </sheetData>
  <mergeCells count="13">
    <mergeCell ref="A36:E36"/>
    <mergeCell ref="A37:D37"/>
    <mergeCell ref="J3:M3"/>
    <mergeCell ref="J16:N16"/>
    <mergeCell ref="J23:M23"/>
    <mergeCell ref="I1:M1"/>
    <mergeCell ref="A35:E35"/>
    <mergeCell ref="A34:E34"/>
    <mergeCell ref="A3:E3"/>
    <mergeCell ref="A12:E12"/>
    <mergeCell ref="A20:D20"/>
    <mergeCell ref="A25:D25"/>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3B790-947F-4981-B46B-0638FDDDC9C2}">
  <sheetPr>
    <tabColor theme="4" tint="0.79998168889431442"/>
  </sheetPr>
  <dimension ref="A1:M303"/>
  <sheetViews>
    <sheetView topLeftCell="A132" workbookViewId="0">
      <selection activeCell="H2" sqref="H2"/>
    </sheetView>
  </sheetViews>
  <sheetFormatPr defaultRowHeight="14.5" x14ac:dyDescent="0.35"/>
  <cols>
    <col min="1" max="1" width="10.54296875" customWidth="1"/>
    <col min="2" max="2" width="14.7265625" customWidth="1"/>
    <col min="3" max="3" width="17.90625" customWidth="1"/>
    <col min="4" max="4" width="11.08984375" customWidth="1"/>
    <col min="5" max="5" width="11.453125" customWidth="1"/>
    <col min="6" max="6" width="16" customWidth="1"/>
    <col min="7" max="7" width="10.1796875" customWidth="1"/>
    <col min="8" max="8" width="18" customWidth="1"/>
    <col min="9" max="9" width="14.81640625" customWidth="1"/>
    <col min="10" max="10" width="14" customWidth="1"/>
    <col min="11" max="11" width="14.81640625" customWidth="1"/>
    <col min="12" max="12" width="11.6328125" customWidth="1"/>
  </cols>
  <sheetData>
    <row r="1" spans="1:13" x14ac:dyDescent="0.35">
      <c r="A1" s="44" t="s">
        <v>568</v>
      </c>
      <c r="B1" s="44"/>
      <c r="C1" s="44"/>
      <c r="D1" s="44"/>
      <c r="E1" s="44"/>
      <c r="F1" s="44"/>
    </row>
    <row r="2" spans="1:13" x14ac:dyDescent="0.35">
      <c r="A2" s="40"/>
    </row>
    <row r="3" spans="1:13" x14ac:dyDescent="0.35">
      <c r="A3" s="2" t="s">
        <v>0</v>
      </c>
      <c r="B3" s="2" t="s">
        <v>8</v>
      </c>
      <c r="C3" s="3" t="s">
        <v>9</v>
      </c>
      <c r="D3" s="2" t="s">
        <v>10</v>
      </c>
      <c r="E3" s="2" t="s">
        <v>11</v>
      </c>
      <c r="F3" s="2" t="s">
        <v>12</v>
      </c>
      <c r="G3" s="29" t="s">
        <v>13</v>
      </c>
      <c r="H3" s="2" t="s">
        <v>14</v>
      </c>
      <c r="I3" s="2" t="s">
        <v>15</v>
      </c>
      <c r="J3" s="2" t="s">
        <v>16</v>
      </c>
      <c r="K3" s="2" t="s">
        <v>17</v>
      </c>
      <c r="L3" s="2" t="s">
        <v>558</v>
      </c>
      <c r="M3" s="2" t="s">
        <v>18</v>
      </c>
    </row>
    <row r="4" spans="1:13" hidden="1" x14ac:dyDescent="0.35">
      <c r="A4" t="s">
        <v>357</v>
      </c>
      <c r="B4">
        <v>47</v>
      </c>
      <c r="C4" s="4" t="s">
        <v>39</v>
      </c>
      <c r="D4">
        <v>4284.9799999999996</v>
      </c>
      <c r="E4">
        <v>5862.4</v>
      </c>
      <c r="F4" t="s">
        <v>46</v>
      </c>
      <c r="G4" s="30">
        <v>0.28000000000000003</v>
      </c>
      <c r="H4" t="s">
        <v>47</v>
      </c>
      <c r="I4" t="s">
        <v>27</v>
      </c>
      <c r="J4" t="s">
        <v>28</v>
      </c>
      <c r="K4">
        <f>B4*E4*(1-G4)</f>
        <v>198383.61599999998</v>
      </c>
      <c r="L4">
        <f>D4*B4</f>
        <v>201394.05999999997</v>
      </c>
      <c r="M4">
        <f>K4-L4</f>
        <v>-3010.4439999999886</v>
      </c>
    </row>
    <row r="5" spans="1:13" hidden="1" x14ac:dyDescent="0.35">
      <c r="A5" t="s">
        <v>29</v>
      </c>
      <c r="B5">
        <v>17</v>
      </c>
      <c r="C5" s="4" t="s">
        <v>24</v>
      </c>
      <c r="D5">
        <v>3816.39</v>
      </c>
      <c r="E5">
        <v>4209.4399999999996</v>
      </c>
      <c r="F5" t="s">
        <v>25</v>
      </c>
      <c r="G5" s="30">
        <v>0.1</v>
      </c>
      <c r="H5" t="s">
        <v>26</v>
      </c>
      <c r="I5" t="s">
        <v>34</v>
      </c>
      <c r="J5" t="s">
        <v>35</v>
      </c>
      <c r="K5">
        <f>B5*E5*(1-G5)</f>
        <v>64404.432000000001</v>
      </c>
      <c r="L5">
        <f>D5*B5</f>
        <v>64878.63</v>
      </c>
      <c r="M5">
        <f>K5-L5</f>
        <v>-474.19799999999668</v>
      </c>
    </row>
    <row r="6" spans="1:13" hidden="1" x14ac:dyDescent="0.35">
      <c r="A6" t="s">
        <v>36</v>
      </c>
      <c r="B6">
        <v>30</v>
      </c>
      <c r="C6" s="4" t="s">
        <v>39</v>
      </c>
      <c r="D6">
        <v>261.56</v>
      </c>
      <c r="E6">
        <v>371.4</v>
      </c>
      <c r="F6" t="s">
        <v>25</v>
      </c>
      <c r="G6" s="30">
        <v>0.2</v>
      </c>
      <c r="H6" t="s">
        <v>40</v>
      </c>
      <c r="I6" t="s">
        <v>34</v>
      </c>
      <c r="J6" t="s">
        <v>41</v>
      </c>
      <c r="K6">
        <f>B6*E6*(1-G6)</f>
        <v>8913.6</v>
      </c>
      <c r="L6">
        <f>D6*B6</f>
        <v>7846.8</v>
      </c>
      <c r="M6">
        <f>K6-L6</f>
        <v>1066.8000000000002</v>
      </c>
    </row>
    <row r="7" spans="1:13" hidden="1" x14ac:dyDescent="0.35">
      <c r="A7" t="s">
        <v>122</v>
      </c>
      <c r="B7">
        <v>45</v>
      </c>
      <c r="C7" s="4" t="s">
        <v>24</v>
      </c>
      <c r="D7">
        <v>4849.6000000000004</v>
      </c>
      <c r="E7">
        <v>5166.72</v>
      </c>
      <c r="F7" t="s">
        <v>25</v>
      </c>
      <c r="G7" s="30">
        <v>0.15</v>
      </c>
      <c r="H7" t="s">
        <v>47</v>
      </c>
      <c r="I7" t="s">
        <v>34</v>
      </c>
      <c r="J7" t="s">
        <v>28</v>
      </c>
      <c r="K7">
        <f>B7*E7*(1-G7)</f>
        <v>197627.04</v>
      </c>
      <c r="L7">
        <f>D7*B7</f>
        <v>218232.00000000003</v>
      </c>
      <c r="M7">
        <f>K7-L7</f>
        <v>-20604.960000000021</v>
      </c>
    </row>
    <row r="8" spans="1:13" hidden="1" x14ac:dyDescent="0.35">
      <c r="A8" t="s">
        <v>48</v>
      </c>
      <c r="B8">
        <v>13</v>
      </c>
      <c r="C8" s="4" t="s">
        <v>51</v>
      </c>
      <c r="D8">
        <v>637.37</v>
      </c>
      <c r="E8">
        <v>692.71</v>
      </c>
      <c r="F8" t="s">
        <v>46</v>
      </c>
      <c r="G8" s="30">
        <v>0.08</v>
      </c>
      <c r="H8" t="s">
        <v>47</v>
      </c>
      <c r="I8" t="s">
        <v>34</v>
      </c>
      <c r="J8" t="s">
        <v>41</v>
      </c>
      <c r="K8">
        <f>B8*E8*(1-G8)</f>
        <v>8284.8115999999991</v>
      </c>
      <c r="L8">
        <f>D8*B8</f>
        <v>8285.81</v>
      </c>
      <c r="M8">
        <f>K8-L8</f>
        <v>-0.99840000000040163</v>
      </c>
    </row>
    <row r="9" spans="1:13" hidden="1" x14ac:dyDescent="0.35">
      <c r="A9" t="s">
        <v>52</v>
      </c>
      <c r="B9">
        <v>32</v>
      </c>
      <c r="C9" s="4" t="s">
        <v>39</v>
      </c>
      <c r="D9">
        <v>900.79</v>
      </c>
      <c r="E9">
        <v>1106.51</v>
      </c>
      <c r="F9" t="s">
        <v>46</v>
      </c>
      <c r="G9" s="30">
        <v>0.21</v>
      </c>
      <c r="H9" t="s">
        <v>26</v>
      </c>
      <c r="I9" t="s">
        <v>34</v>
      </c>
      <c r="J9" t="s">
        <v>41</v>
      </c>
      <c r="K9">
        <f>B9*E9*(1-G9)</f>
        <v>27972.572800000002</v>
      </c>
      <c r="L9">
        <f>D9*B9</f>
        <v>28825.279999999999</v>
      </c>
      <c r="M9">
        <f>K9-L9</f>
        <v>-852.7071999999971</v>
      </c>
    </row>
    <row r="10" spans="1:13" hidden="1" x14ac:dyDescent="0.35">
      <c r="A10" t="s">
        <v>55</v>
      </c>
      <c r="B10">
        <v>29</v>
      </c>
      <c r="C10" s="4" t="s">
        <v>24</v>
      </c>
      <c r="D10">
        <v>2408.81</v>
      </c>
      <c r="E10">
        <v>2824.09</v>
      </c>
      <c r="F10" t="s">
        <v>25</v>
      </c>
      <c r="G10" s="30">
        <v>0.04</v>
      </c>
      <c r="H10" t="s">
        <v>26</v>
      </c>
      <c r="I10" t="s">
        <v>27</v>
      </c>
      <c r="J10" t="s">
        <v>35</v>
      </c>
      <c r="K10">
        <f>B10*E10*(1-G10)</f>
        <v>78622.665599999993</v>
      </c>
      <c r="L10">
        <f>D10*B10</f>
        <v>69855.490000000005</v>
      </c>
      <c r="M10">
        <f>K10-L10</f>
        <v>8767.1755999999878</v>
      </c>
    </row>
    <row r="11" spans="1:13" hidden="1" x14ac:dyDescent="0.35">
      <c r="A11" t="s">
        <v>57</v>
      </c>
      <c r="B11">
        <v>46</v>
      </c>
      <c r="C11" s="4" t="s">
        <v>24</v>
      </c>
      <c r="D11">
        <v>3702.51</v>
      </c>
      <c r="E11">
        <v>3964.65</v>
      </c>
      <c r="F11" t="s">
        <v>46</v>
      </c>
      <c r="G11" s="30">
        <v>0.12</v>
      </c>
      <c r="H11" t="s">
        <v>40</v>
      </c>
      <c r="I11" t="s">
        <v>27</v>
      </c>
      <c r="J11" t="s">
        <v>41</v>
      </c>
      <c r="K11">
        <f>B11*E11*(1-G11)</f>
        <v>160489.03200000001</v>
      </c>
      <c r="L11">
        <f>D11*B11</f>
        <v>170315.46000000002</v>
      </c>
      <c r="M11">
        <f>K11-L11</f>
        <v>-9826.4280000000144</v>
      </c>
    </row>
    <row r="12" spans="1:13" hidden="1" x14ac:dyDescent="0.35">
      <c r="A12" t="s">
        <v>59</v>
      </c>
      <c r="B12">
        <v>30</v>
      </c>
      <c r="C12" s="4" t="s">
        <v>24</v>
      </c>
      <c r="D12">
        <v>738.06</v>
      </c>
      <c r="E12">
        <v>1095.45</v>
      </c>
      <c r="F12" t="s">
        <v>46</v>
      </c>
      <c r="G12" s="30">
        <v>0.05</v>
      </c>
      <c r="H12" t="s">
        <v>40</v>
      </c>
      <c r="I12" t="s">
        <v>27</v>
      </c>
      <c r="J12" t="s">
        <v>35</v>
      </c>
      <c r="K12">
        <f>B12*E12*(1-G12)</f>
        <v>31220.324999999997</v>
      </c>
      <c r="L12">
        <f>D12*B12</f>
        <v>22141.8</v>
      </c>
      <c r="M12">
        <f>K12-L12</f>
        <v>9078.5249999999978</v>
      </c>
    </row>
    <row r="13" spans="1:13" hidden="1" x14ac:dyDescent="0.35">
      <c r="A13" t="s">
        <v>268</v>
      </c>
      <c r="B13">
        <v>45</v>
      </c>
      <c r="C13" s="4" t="s">
        <v>45</v>
      </c>
      <c r="D13">
        <v>4369.5</v>
      </c>
      <c r="E13">
        <v>4381.8900000000003</v>
      </c>
      <c r="F13" t="s">
        <v>25</v>
      </c>
      <c r="G13" s="30">
        <v>0.02</v>
      </c>
      <c r="H13" t="s">
        <v>47</v>
      </c>
      <c r="I13" t="s">
        <v>34</v>
      </c>
      <c r="J13" t="s">
        <v>28</v>
      </c>
      <c r="K13">
        <f>B13*E13*(1-G13)</f>
        <v>193241.34900000002</v>
      </c>
      <c r="L13">
        <f>D13*B13</f>
        <v>196627.5</v>
      </c>
      <c r="M13">
        <f>K13-L13</f>
        <v>-3386.1509999999835</v>
      </c>
    </row>
    <row r="14" spans="1:13" hidden="1" x14ac:dyDescent="0.35">
      <c r="A14" t="s">
        <v>63</v>
      </c>
      <c r="B14">
        <v>13</v>
      </c>
      <c r="C14" s="4" t="s">
        <v>24</v>
      </c>
      <c r="D14">
        <v>2440.11</v>
      </c>
      <c r="E14">
        <v>2517.6</v>
      </c>
      <c r="F14" t="s">
        <v>46</v>
      </c>
      <c r="G14" s="30">
        <v>0.12</v>
      </c>
      <c r="H14" t="s">
        <v>40</v>
      </c>
      <c r="I14" t="s">
        <v>34</v>
      </c>
      <c r="J14" t="s">
        <v>41</v>
      </c>
      <c r="K14">
        <f>B14*E14*(1-G14)</f>
        <v>28801.344000000001</v>
      </c>
      <c r="L14">
        <f>D14*B14</f>
        <v>31721.43</v>
      </c>
      <c r="M14">
        <f>K14-L14</f>
        <v>-2920.0859999999993</v>
      </c>
    </row>
    <row r="15" spans="1:13" x14ac:dyDescent="0.35">
      <c r="A15" t="s">
        <v>295</v>
      </c>
      <c r="B15">
        <v>49</v>
      </c>
      <c r="C15" s="4" t="s">
        <v>24</v>
      </c>
      <c r="D15">
        <v>3026.85</v>
      </c>
      <c r="E15">
        <v>5183.58</v>
      </c>
      <c r="F15" t="s">
        <v>25</v>
      </c>
      <c r="G15" s="30">
        <v>0.25</v>
      </c>
      <c r="H15" t="s">
        <v>26</v>
      </c>
      <c r="I15" t="s">
        <v>34</v>
      </c>
      <c r="J15" t="s">
        <v>28</v>
      </c>
      <c r="K15">
        <f>B15*E15*(1-G15)</f>
        <v>190496.565</v>
      </c>
      <c r="L15">
        <f>D15*B15</f>
        <v>148315.65</v>
      </c>
      <c r="M15">
        <f>K15-L15</f>
        <v>42180.915000000008</v>
      </c>
    </row>
    <row r="16" spans="1:13" hidden="1" x14ac:dyDescent="0.35">
      <c r="A16" t="s">
        <v>68</v>
      </c>
      <c r="B16">
        <v>21</v>
      </c>
      <c r="C16" s="4" t="s">
        <v>39</v>
      </c>
      <c r="D16">
        <v>622.01</v>
      </c>
      <c r="E16">
        <v>641.09</v>
      </c>
      <c r="F16" t="s">
        <v>25</v>
      </c>
      <c r="G16" s="30">
        <v>0</v>
      </c>
      <c r="H16" t="s">
        <v>40</v>
      </c>
      <c r="I16" t="s">
        <v>34</v>
      </c>
      <c r="J16" t="s">
        <v>41</v>
      </c>
      <c r="K16">
        <f>B16*E16*(1-G16)</f>
        <v>13462.890000000001</v>
      </c>
      <c r="L16">
        <f>D16*B16</f>
        <v>13062.21</v>
      </c>
      <c r="M16">
        <f>K16-L16</f>
        <v>400.68000000000211</v>
      </c>
    </row>
    <row r="17" spans="1:13" hidden="1" x14ac:dyDescent="0.35">
      <c r="A17" t="s">
        <v>459</v>
      </c>
      <c r="B17">
        <v>45</v>
      </c>
      <c r="C17" s="4" t="s">
        <v>51</v>
      </c>
      <c r="D17">
        <v>4268.45</v>
      </c>
      <c r="E17">
        <v>4551.6000000000004</v>
      </c>
      <c r="F17" t="s">
        <v>46</v>
      </c>
      <c r="G17" s="30">
        <v>0.08</v>
      </c>
      <c r="H17" t="s">
        <v>40</v>
      </c>
      <c r="I17" t="s">
        <v>27</v>
      </c>
      <c r="J17" t="s">
        <v>28</v>
      </c>
      <c r="K17">
        <f>B17*E17*(1-G17)</f>
        <v>188436.24000000005</v>
      </c>
      <c r="L17">
        <f>D17*B17</f>
        <v>192080.25</v>
      </c>
      <c r="M17">
        <f>K17-L17</f>
        <v>-3644.0099999999511</v>
      </c>
    </row>
    <row r="18" spans="1:13" hidden="1" x14ac:dyDescent="0.35">
      <c r="A18" t="s">
        <v>71</v>
      </c>
      <c r="B18">
        <v>21</v>
      </c>
      <c r="C18" s="4" t="s">
        <v>39</v>
      </c>
      <c r="D18">
        <v>2537.1999999999998</v>
      </c>
      <c r="E18">
        <v>2869.6</v>
      </c>
      <c r="F18" t="s">
        <v>46</v>
      </c>
      <c r="G18" s="30">
        <v>0.2</v>
      </c>
      <c r="H18" t="s">
        <v>40</v>
      </c>
      <c r="I18" t="s">
        <v>34</v>
      </c>
      <c r="J18" t="s">
        <v>41</v>
      </c>
      <c r="K18">
        <f>B18*E18*(1-G18)</f>
        <v>48209.279999999999</v>
      </c>
      <c r="L18">
        <f>D18*B18</f>
        <v>53281.2</v>
      </c>
      <c r="M18">
        <f>K18-L18</f>
        <v>-5071.9199999999983</v>
      </c>
    </row>
    <row r="19" spans="1:13" hidden="1" x14ac:dyDescent="0.35">
      <c r="A19" t="s">
        <v>73</v>
      </c>
      <c r="B19">
        <v>48</v>
      </c>
      <c r="C19" s="4" t="s">
        <v>24</v>
      </c>
      <c r="D19">
        <v>121.19</v>
      </c>
      <c r="E19">
        <v>487.65</v>
      </c>
      <c r="F19" t="s">
        <v>46</v>
      </c>
      <c r="G19" s="30">
        <v>0.18</v>
      </c>
      <c r="H19" t="s">
        <v>26</v>
      </c>
      <c r="I19" t="s">
        <v>27</v>
      </c>
      <c r="J19" t="s">
        <v>41</v>
      </c>
      <c r="K19">
        <f>B19*E19*(1-G19)</f>
        <v>19193.903999999999</v>
      </c>
      <c r="L19">
        <f>D19*B19</f>
        <v>5817.12</v>
      </c>
      <c r="M19">
        <f>K19-L19</f>
        <v>13376.784</v>
      </c>
    </row>
    <row r="20" spans="1:13" hidden="1" x14ac:dyDescent="0.35">
      <c r="A20" t="s">
        <v>75</v>
      </c>
      <c r="B20">
        <v>17</v>
      </c>
      <c r="C20" s="4" t="s">
        <v>24</v>
      </c>
      <c r="D20">
        <v>4024.76</v>
      </c>
      <c r="E20">
        <v>4420.1499999999996</v>
      </c>
      <c r="F20" t="s">
        <v>25</v>
      </c>
      <c r="G20" s="30">
        <v>0.04</v>
      </c>
      <c r="H20" t="s">
        <v>26</v>
      </c>
      <c r="I20" t="s">
        <v>27</v>
      </c>
      <c r="J20" t="s">
        <v>41</v>
      </c>
      <c r="K20">
        <f>B20*E20*(1-G20)</f>
        <v>72136.847999999984</v>
      </c>
      <c r="L20">
        <f>D20*B20</f>
        <v>68420.92</v>
      </c>
      <c r="M20">
        <f>K20-L20</f>
        <v>3715.9279999999853</v>
      </c>
    </row>
    <row r="21" spans="1:13" hidden="1" x14ac:dyDescent="0.35">
      <c r="A21" t="s">
        <v>77</v>
      </c>
      <c r="B21">
        <v>40</v>
      </c>
      <c r="C21" s="4" t="s">
        <v>51</v>
      </c>
      <c r="D21">
        <v>4904.93</v>
      </c>
      <c r="E21">
        <v>5034.3500000000004</v>
      </c>
      <c r="F21" t="s">
        <v>46</v>
      </c>
      <c r="G21" s="30">
        <v>0.05</v>
      </c>
      <c r="H21" t="s">
        <v>47</v>
      </c>
      <c r="I21" t="s">
        <v>34</v>
      </c>
      <c r="J21" t="s">
        <v>41</v>
      </c>
      <c r="K21">
        <f>B21*E21*(1-G21)</f>
        <v>191305.3</v>
      </c>
      <c r="L21">
        <f>D21*B21</f>
        <v>196197.2</v>
      </c>
      <c r="M21">
        <f>K21-L21</f>
        <v>-4891.9000000000233</v>
      </c>
    </row>
    <row r="22" spans="1:13" hidden="1" x14ac:dyDescent="0.35">
      <c r="A22" t="s">
        <v>79</v>
      </c>
      <c r="B22">
        <v>19</v>
      </c>
      <c r="C22" s="4" t="s">
        <v>45</v>
      </c>
      <c r="D22">
        <v>3049.33</v>
      </c>
      <c r="E22">
        <v>3209.22</v>
      </c>
      <c r="F22" t="s">
        <v>25</v>
      </c>
      <c r="G22" s="30">
        <v>0.06</v>
      </c>
      <c r="H22" t="s">
        <v>26</v>
      </c>
      <c r="I22" t="s">
        <v>34</v>
      </c>
      <c r="J22" t="s">
        <v>41</v>
      </c>
      <c r="K22">
        <f>B22*E22*(1-G22)</f>
        <v>57316.669199999989</v>
      </c>
      <c r="L22">
        <f>D22*B22</f>
        <v>57937.27</v>
      </c>
      <c r="M22">
        <f>K22-L22</f>
        <v>-620.60080000000744</v>
      </c>
    </row>
    <row r="23" spans="1:13" hidden="1" x14ac:dyDescent="0.35">
      <c r="A23" t="s">
        <v>82</v>
      </c>
      <c r="B23">
        <v>15</v>
      </c>
      <c r="C23" s="4" t="s">
        <v>45</v>
      </c>
      <c r="D23">
        <v>2543.36</v>
      </c>
      <c r="E23">
        <v>2790.1</v>
      </c>
      <c r="F23" t="s">
        <v>25</v>
      </c>
      <c r="G23" s="30">
        <v>7.0000000000000007E-2</v>
      </c>
      <c r="H23" t="s">
        <v>26</v>
      </c>
      <c r="I23" t="s">
        <v>34</v>
      </c>
      <c r="J23" t="s">
        <v>41</v>
      </c>
      <c r="K23">
        <f>B23*E23*(1-G23)</f>
        <v>38921.894999999997</v>
      </c>
      <c r="L23">
        <f>D23*B23</f>
        <v>38150.400000000001</v>
      </c>
      <c r="M23">
        <f>K23-L23</f>
        <v>771.49499999999534</v>
      </c>
    </row>
    <row r="24" spans="1:13" hidden="1" x14ac:dyDescent="0.35">
      <c r="A24" t="s">
        <v>84</v>
      </c>
      <c r="B24">
        <v>9</v>
      </c>
      <c r="C24" s="4" t="s">
        <v>51</v>
      </c>
      <c r="D24">
        <v>4398.16</v>
      </c>
      <c r="E24">
        <v>4439.12</v>
      </c>
      <c r="F24" t="s">
        <v>46</v>
      </c>
      <c r="G24" s="30">
        <v>0.18</v>
      </c>
      <c r="H24" t="s">
        <v>40</v>
      </c>
      <c r="I24" t="s">
        <v>27</v>
      </c>
      <c r="J24" t="s">
        <v>41</v>
      </c>
      <c r="K24">
        <f>B24*E24*(1-G24)</f>
        <v>32760.705600000005</v>
      </c>
      <c r="L24">
        <f>D24*B24</f>
        <v>39583.440000000002</v>
      </c>
      <c r="M24">
        <f>K24-L24</f>
        <v>-6822.7343999999975</v>
      </c>
    </row>
    <row r="25" spans="1:13" hidden="1" x14ac:dyDescent="0.35">
      <c r="A25" t="s">
        <v>85</v>
      </c>
      <c r="B25">
        <v>10</v>
      </c>
      <c r="C25" s="4" t="s">
        <v>51</v>
      </c>
      <c r="D25">
        <v>4764.96</v>
      </c>
      <c r="E25">
        <v>5074.42</v>
      </c>
      <c r="F25" t="s">
        <v>46</v>
      </c>
      <c r="G25" s="30">
        <v>0.12</v>
      </c>
      <c r="H25" t="s">
        <v>26</v>
      </c>
      <c r="I25" t="s">
        <v>34</v>
      </c>
      <c r="J25" t="s">
        <v>41</v>
      </c>
      <c r="K25">
        <f>B25*E25*(1-G25)</f>
        <v>44654.896000000001</v>
      </c>
      <c r="L25">
        <f>D25*B25</f>
        <v>47649.599999999999</v>
      </c>
      <c r="M25">
        <f>K25-L25</f>
        <v>-2994.7039999999979</v>
      </c>
    </row>
    <row r="26" spans="1:13" hidden="1" x14ac:dyDescent="0.35">
      <c r="A26" t="s">
        <v>87</v>
      </c>
      <c r="B26">
        <v>44</v>
      </c>
      <c r="C26" s="4" t="s">
        <v>45</v>
      </c>
      <c r="D26">
        <v>3784.96</v>
      </c>
      <c r="E26">
        <v>4276.99</v>
      </c>
      <c r="F26" t="s">
        <v>46</v>
      </c>
      <c r="G26" s="30">
        <v>0.06</v>
      </c>
      <c r="H26" t="s">
        <v>40</v>
      </c>
      <c r="I26" t="s">
        <v>34</v>
      </c>
      <c r="J26" t="s">
        <v>41</v>
      </c>
      <c r="K26">
        <f>B26*E26*(1-G26)</f>
        <v>176896.3064</v>
      </c>
      <c r="L26">
        <f>D26*B26</f>
        <v>166538.23999999999</v>
      </c>
      <c r="M26">
        <f>K26-L26</f>
        <v>10358.066400000011</v>
      </c>
    </row>
    <row r="27" spans="1:13" x14ac:dyDescent="0.35">
      <c r="A27" t="s">
        <v>134</v>
      </c>
      <c r="B27">
        <v>43</v>
      </c>
      <c r="C27" s="4" t="s">
        <v>24</v>
      </c>
      <c r="D27">
        <v>4154.3</v>
      </c>
      <c r="E27">
        <v>4469.07</v>
      </c>
      <c r="F27" t="s">
        <v>25</v>
      </c>
      <c r="G27" s="30">
        <v>0.05</v>
      </c>
      <c r="H27" t="s">
        <v>26</v>
      </c>
      <c r="I27" t="s">
        <v>34</v>
      </c>
      <c r="J27" t="s">
        <v>28</v>
      </c>
      <c r="K27">
        <f>B27*E27*(1-G27)</f>
        <v>182561.50949999999</v>
      </c>
      <c r="L27">
        <f>D27*B27</f>
        <v>178634.9</v>
      </c>
      <c r="M27">
        <f>K27-L27</f>
        <v>3926.6094999999914</v>
      </c>
    </row>
    <row r="28" spans="1:13" hidden="1" x14ac:dyDescent="0.35">
      <c r="A28" t="s">
        <v>90</v>
      </c>
      <c r="B28">
        <v>23</v>
      </c>
      <c r="C28" s="4" t="s">
        <v>24</v>
      </c>
      <c r="D28">
        <v>2981.5</v>
      </c>
      <c r="E28">
        <v>4860.3999999999996</v>
      </c>
      <c r="F28" t="s">
        <v>25</v>
      </c>
      <c r="G28" s="30">
        <v>0.22</v>
      </c>
      <c r="H28" t="s">
        <v>40</v>
      </c>
      <c r="I28" t="s">
        <v>27</v>
      </c>
      <c r="J28" t="s">
        <v>35</v>
      </c>
      <c r="K28">
        <f>B28*E28*(1-G28)</f>
        <v>87195.576000000001</v>
      </c>
      <c r="L28">
        <f>D28*B28</f>
        <v>68574.5</v>
      </c>
      <c r="M28">
        <f>K28-L28</f>
        <v>18621.076000000001</v>
      </c>
    </row>
    <row r="29" spans="1:13" hidden="1" x14ac:dyDescent="0.35">
      <c r="A29" t="s">
        <v>92</v>
      </c>
      <c r="B29">
        <v>30</v>
      </c>
      <c r="C29" s="4" t="s">
        <v>45</v>
      </c>
      <c r="D29">
        <v>3519.63</v>
      </c>
      <c r="E29">
        <v>4774.6499999999996</v>
      </c>
      <c r="F29" t="s">
        <v>46</v>
      </c>
      <c r="G29" s="30">
        <v>0.2</v>
      </c>
      <c r="H29" t="s">
        <v>47</v>
      </c>
      <c r="I29" t="s">
        <v>34</v>
      </c>
      <c r="J29" t="s">
        <v>41</v>
      </c>
      <c r="K29">
        <f>B29*E29*(1-G29)</f>
        <v>114591.6</v>
      </c>
      <c r="L29">
        <f>D29*B29</f>
        <v>105588.90000000001</v>
      </c>
      <c r="M29">
        <f>K29-L29</f>
        <v>9002.6999999999971</v>
      </c>
    </row>
    <row r="30" spans="1:13" hidden="1" x14ac:dyDescent="0.35">
      <c r="A30" t="s">
        <v>94</v>
      </c>
      <c r="B30">
        <v>33</v>
      </c>
      <c r="C30" s="4" t="s">
        <v>24</v>
      </c>
      <c r="D30">
        <v>1011.65</v>
      </c>
      <c r="E30">
        <v>1084.28</v>
      </c>
      <c r="F30" t="s">
        <v>25</v>
      </c>
      <c r="G30" s="30">
        <v>7.0000000000000007E-2</v>
      </c>
      <c r="H30" t="s">
        <v>40</v>
      </c>
      <c r="I30" t="s">
        <v>27</v>
      </c>
      <c r="J30" t="s">
        <v>35</v>
      </c>
      <c r="K30">
        <f>B30*E30*(1-G30)</f>
        <v>33276.553199999995</v>
      </c>
      <c r="L30">
        <f>D30*B30</f>
        <v>33384.449999999997</v>
      </c>
      <c r="M30">
        <f>K30-L30</f>
        <v>-107.89680000000226</v>
      </c>
    </row>
    <row r="31" spans="1:13" hidden="1" x14ac:dyDescent="0.35">
      <c r="A31" t="s">
        <v>96</v>
      </c>
      <c r="B31">
        <v>9</v>
      </c>
      <c r="C31" s="4" t="s">
        <v>51</v>
      </c>
      <c r="D31">
        <v>2263.65</v>
      </c>
      <c r="E31">
        <v>2558.9499999999998</v>
      </c>
      <c r="F31" t="s">
        <v>46</v>
      </c>
      <c r="G31" s="30">
        <v>0.03</v>
      </c>
      <c r="H31" t="s">
        <v>26</v>
      </c>
      <c r="I31" t="s">
        <v>27</v>
      </c>
      <c r="J31" t="s">
        <v>41</v>
      </c>
      <c r="K31">
        <f>B31*E31*(1-G31)</f>
        <v>22339.6335</v>
      </c>
      <c r="L31">
        <f>D31*B31</f>
        <v>20372.850000000002</v>
      </c>
      <c r="M31">
        <f>K31-L31</f>
        <v>1966.7834999999977</v>
      </c>
    </row>
    <row r="32" spans="1:13" hidden="1" x14ac:dyDescent="0.35">
      <c r="A32" t="s">
        <v>98</v>
      </c>
      <c r="B32">
        <v>47</v>
      </c>
      <c r="C32" s="4" t="s">
        <v>24</v>
      </c>
      <c r="D32">
        <v>4157.62</v>
      </c>
      <c r="E32">
        <v>5214.5600000000004</v>
      </c>
      <c r="F32" t="s">
        <v>46</v>
      </c>
      <c r="G32" s="30">
        <v>0.17</v>
      </c>
      <c r="H32" t="s">
        <v>40</v>
      </c>
      <c r="I32" t="s">
        <v>27</v>
      </c>
      <c r="J32" t="s">
        <v>41</v>
      </c>
      <c r="K32">
        <f>B32*E32*(1-G32)</f>
        <v>203419.98559999999</v>
      </c>
      <c r="L32">
        <f>D32*B32</f>
        <v>195408.13999999998</v>
      </c>
      <c r="M32">
        <f>K32-L32</f>
        <v>8011.8456000000006</v>
      </c>
    </row>
    <row r="33" spans="1:13" hidden="1" x14ac:dyDescent="0.35">
      <c r="A33" t="s">
        <v>171</v>
      </c>
      <c r="B33">
        <v>45</v>
      </c>
      <c r="C33" s="4" t="s">
        <v>39</v>
      </c>
      <c r="D33">
        <v>4132.79</v>
      </c>
      <c r="E33">
        <v>4624.1000000000004</v>
      </c>
      <c r="F33" t="s">
        <v>46</v>
      </c>
      <c r="G33" s="30">
        <v>0.15</v>
      </c>
      <c r="H33" t="s">
        <v>47</v>
      </c>
      <c r="I33" t="s">
        <v>27</v>
      </c>
      <c r="J33" t="s">
        <v>28</v>
      </c>
      <c r="K33">
        <f>B33*E33*(1-G33)</f>
        <v>176871.82500000001</v>
      </c>
      <c r="L33">
        <f>D33*B33</f>
        <v>185975.55</v>
      </c>
      <c r="M33">
        <f>K33-L33</f>
        <v>-9103.7249999999767</v>
      </c>
    </row>
    <row r="34" spans="1:13" x14ac:dyDescent="0.35">
      <c r="A34" t="s">
        <v>42</v>
      </c>
      <c r="B34">
        <v>39</v>
      </c>
      <c r="C34" s="4" t="s">
        <v>45</v>
      </c>
      <c r="D34">
        <v>4330.03</v>
      </c>
      <c r="E34">
        <v>4467.75</v>
      </c>
      <c r="F34" t="s">
        <v>46</v>
      </c>
      <c r="G34" s="30">
        <v>0.02</v>
      </c>
      <c r="H34" t="s">
        <v>47</v>
      </c>
      <c r="I34" t="s">
        <v>34</v>
      </c>
      <c r="J34" t="s">
        <v>28</v>
      </c>
      <c r="K34">
        <f>B34*E34*(1-G34)</f>
        <v>170757.405</v>
      </c>
      <c r="L34">
        <f>D34*B34</f>
        <v>168871.16999999998</v>
      </c>
      <c r="M34">
        <f>K34-L34</f>
        <v>1886.2350000000151</v>
      </c>
    </row>
    <row r="35" spans="1:13" hidden="1" x14ac:dyDescent="0.35">
      <c r="A35" t="s">
        <v>105</v>
      </c>
      <c r="B35">
        <v>35</v>
      </c>
      <c r="C35" s="4" t="s">
        <v>39</v>
      </c>
      <c r="D35">
        <v>3333.64</v>
      </c>
      <c r="E35">
        <v>3764.52</v>
      </c>
      <c r="F35" t="s">
        <v>25</v>
      </c>
      <c r="G35" s="30">
        <v>0.02</v>
      </c>
      <c r="H35" t="s">
        <v>47</v>
      </c>
      <c r="I35" t="s">
        <v>27</v>
      </c>
      <c r="J35" t="s">
        <v>35</v>
      </c>
      <c r="K35">
        <f>B35*E35*(1-G35)</f>
        <v>129123.03600000001</v>
      </c>
      <c r="L35">
        <f>D35*B35</f>
        <v>116677.4</v>
      </c>
      <c r="M35">
        <f>K35-L35</f>
        <v>12445.636000000013</v>
      </c>
    </row>
    <row r="36" spans="1:13" x14ac:dyDescent="0.35">
      <c r="A36" t="s">
        <v>356</v>
      </c>
      <c r="B36">
        <v>44</v>
      </c>
      <c r="C36" s="4" t="s">
        <v>24</v>
      </c>
      <c r="D36">
        <v>3519.29</v>
      </c>
      <c r="E36">
        <v>4822.9799999999996</v>
      </c>
      <c r="F36" t="s">
        <v>25</v>
      </c>
      <c r="G36" s="30">
        <v>0.27</v>
      </c>
      <c r="H36" t="s">
        <v>40</v>
      </c>
      <c r="I36" t="s">
        <v>27</v>
      </c>
      <c r="J36" t="s">
        <v>28</v>
      </c>
      <c r="K36">
        <f>B36*E36*(1-G36)</f>
        <v>154914.1176</v>
      </c>
      <c r="L36">
        <f>D36*B36</f>
        <v>154848.76</v>
      </c>
      <c r="M36">
        <f>K36-L36</f>
        <v>65.357599999988452</v>
      </c>
    </row>
    <row r="37" spans="1:13" hidden="1" x14ac:dyDescent="0.35">
      <c r="A37" t="s">
        <v>301</v>
      </c>
      <c r="B37">
        <v>41</v>
      </c>
      <c r="C37" s="4" t="s">
        <v>45</v>
      </c>
      <c r="D37">
        <v>3736.88</v>
      </c>
      <c r="E37">
        <v>3946.77</v>
      </c>
      <c r="F37" t="s">
        <v>25</v>
      </c>
      <c r="G37" s="30">
        <v>0.06</v>
      </c>
      <c r="H37" t="s">
        <v>47</v>
      </c>
      <c r="I37" t="s">
        <v>34</v>
      </c>
      <c r="J37" t="s">
        <v>28</v>
      </c>
      <c r="K37">
        <f>B37*E37*(1-G37)</f>
        <v>152108.51579999999</v>
      </c>
      <c r="L37">
        <f>D37*B37</f>
        <v>153212.08000000002</v>
      </c>
      <c r="M37">
        <f>K37-L37</f>
        <v>-1103.5642000000225</v>
      </c>
    </row>
    <row r="38" spans="1:13" hidden="1" x14ac:dyDescent="0.35">
      <c r="A38" t="s">
        <v>111</v>
      </c>
      <c r="B38">
        <v>16</v>
      </c>
      <c r="C38" s="4" t="s">
        <v>45</v>
      </c>
      <c r="D38">
        <v>3975.99</v>
      </c>
      <c r="E38">
        <v>4422.59</v>
      </c>
      <c r="F38" t="s">
        <v>46</v>
      </c>
      <c r="G38" s="30">
        <v>0.24</v>
      </c>
      <c r="H38" t="s">
        <v>26</v>
      </c>
      <c r="I38" t="s">
        <v>34</v>
      </c>
      <c r="J38" t="s">
        <v>35</v>
      </c>
      <c r="K38">
        <f>B38*E38*(1-G38)</f>
        <v>53778.6944</v>
      </c>
      <c r="L38">
        <f>D38*B38</f>
        <v>63615.839999999997</v>
      </c>
      <c r="M38">
        <f>K38-L38</f>
        <v>-9837.1455999999962</v>
      </c>
    </row>
    <row r="39" spans="1:13" hidden="1" x14ac:dyDescent="0.35">
      <c r="A39" t="s">
        <v>416</v>
      </c>
      <c r="B39">
        <v>47</v>
      </c>
      <c r="C39" s="4" t="s">
        <v>51</v>
      </c>
      <c r="D39">
        <v>3551.76</v>
      </c>
      <c r="E39">
        <v>3696.1</v>
      </c>
      <c r="F39" t="s">
        <v>25</v>
      </c>
      <c r="G39" s="30">
        <v>0.15</v>
      </c>
      <c r="H39" t="s">
        <v>40</v>
      </c>
      <c r="I39" t="s">
        <v>34</v>
      </c>
      <c r="J39" t="s">
        <v>28</v>
      </c>
      <c r="K39">
        <f>B39*E39*(1-G39)</f>
        <v>147659.19499999998</v>
      </c>
      <c r="L39">
        <f>D39*B39</f>
        <v>166932.72</v>
      </c>
      <c r="M39">
        <f>K39-L39</f>
        <v>-19273.525000000023</v>
      </c>
    </row>
    <row r="40" spans="1:13" hidden="1" x14ac:dyDescent="0.35">
      <c r="A40" t="s">
        <v>114</v>
      </c>
      <c r="B40">
        <v>32</v>
      </c>
      <c r="C40" s="4" t="s">
        <v>24</v>
      </c>
      <c r="D40">
        <v>970.51</v>
      </c>
      <c r="E40">
        <v>1330.84</v>
      </c>
      <c r="F40" t="s">
        <v>25</v>
      </c>
      <c r="G40" s="30">
        <v>0.06</v>
      </c>
      <c r="H40" t="s">
        <v>26</v>
      </c>
      <c r="I40" t="s">
        <v>34</v>
      </c>
      <c r="J40" t="s">
        <v>41</v>
      </c>
      <c r="K40">
        <f>B40*E40*(1-G40)</f>
        <v>40031.667199999996</v>
      </c>
      <c r="L40">
        <f>D40*B40</f>
        <v>31056.32</v>
      </c>
      <c r="M40">
        <f>K40-L40</f>
        <v>8975.3471999999965</v>
      </c>
    </row>
    <row r="41" spans="1:13" hidden="1" x14ac:dyDescent="0.35">
      <c r="A41" t="s">
        <v>116</v>
      </c>
      <c r="B41">
        <v>15</v>
      </c>
      <c r="C41" s="4" t="s">
        <v>45</v>
      </c>
      <c r="D41">
        <v>4756.55</v>
      </c>
      <c r="E41">
        <v>4888.46</v>
      </c>
      <c r="F41" t="s">
        <v>46</v>
      </c>
      <c r="G41" s="30">
        <v>0.28999999999999998</v>
      </c>
      <c r="H41" t="s">
        <v>47</v>
      </c>
      <c r="I41" t="s">
        <v>27</v>
      </c>
      <c r="J41" t="s">
        <v>35</v>
      </c>
      <c r="K41">
        <f>B41*E41*(1-G41)</f>
        <v>52062.098999999995</v>
      </c>
      <c r="L41">
        <f>D41*B41</f>
        <v>71348.25</v>
      </c>
      <c r="M41">
        <f>K41-L41</f>
        <v>-19286.151000000005</v>
      </c>
    </row>
    <row r="42" spans="1:13" hidden="1" x14ac:dyDescent="0.35">
      <c r="A42" t="s">
        <v>118</v>
      </c>
      <c r="B42">
        <v>12</v>
      </c>
      <c r="C42" s="4" t="s">
        <v>24</v>
      </c>
      <c r="D42">
        <v>1088.99</v>
      </c>
      <c r="E42">
        <v>1545</v>
      </c>
      <c r="F42" t="s">
        <v>25</v>
      </c>
      <c r="G42" s="30">
        <v>0.04</v>
      </c>
      <c r="H42" t="s">
        <v>40</v>
      </c>
      <c r="I42" t="s">
        <v>27</v>
      </c>
      <c r="J42" t="s">
        <v>35</v>
      </c>
      <c r="K42">
        <f>B42*E42*(1-G42)</f>
        <v>17798.399999999998</v>
      </c>
      <c r="L42">
        <f>D42*B42</f>
        <v>13067.880000000001</v>
      </c>
      <c r="M42">
        <f>K42-L42</f>
        <v>4730.5199999999968</v>
      </c>
    </row>
    <row r="43" spans="1:13" hidden="1" x14ac:dyDescent="0.35">
      <c r="A43" t="s">
        <v>120</v>
      </c>
      <c r="B43">
        <v>33</v>
      </c>
      <c r="C43" s="4" t="s">
        <v>51</v>
      </c>
      <c r="D43">
        <v>1341.55</v>
      </c>
      <c r="E43">
        <v>1427.21</v>
      </c>
      <c r="F43" t="s">
        <v>25</v>
      </c>
      <c r="G43" s="30">
        <v>0.15</v>
      </c>
      <c r="H43" t="s">
        <v>47</v>
      </c>
      <c r="I43" t="s">
        <v>27</v>
      </c>
      <c r="J43" t="s">
        <v>41</v>
      </c>
      <c r="K43">
        <f>B43*E43*(1-G43)</f>
        <v>40033.2405</v>
      </c>
      <c r="L43">
        <f>D43*B43</f>
        <v>44271.15</v>
      </c>
      <c r="M43">
        <f>K43-L43</f>
        <v>-4237.9095000000016</v>
      </c>
    </row>
    <row r="44" spans="1:13" hidden="1" x14ac:dyDescent="0.35">
      <c r="A44" t="s">
        <v>381</v>
      </c>
      <c r="B44">
        <v>37</v>
      </c>
      <c r="C44" s="4" t="s">
        <v>51</v>
      </c>
      <c r="D44">
        <v>4146.99</v>
      </c>
      <c r="E44">
        <v>4172.3500000000004</v>
      </c>
      <c r="F44" t="s">
        <v>25</v>
      </c>
      <c r="G44" s="30">
        <v>0.06</v>
      </c>
      <c r="H44" t="s">
        <v>26</v>
      </c>
      <c r="I44" t="s">
        <v>34</v>
      </c>
      <c r="J44" t="s">
        <v>28</v>
      </c>
      <c r="K44">
        <f>B44*E44*(1-G44)</f>
        <v>145114.33300000001</v>
      </c>
      <c r="L44">
        <f>D44*B44</f>
        <v>153438.63</v>
      </c>
      <c r="M44">
        <f>K44-L44</f>
        <v>-8324.2969999999914</v>
      </c>
    </row>
    <row r="45" spans="1:13" hidden="1" x14ac:dyDescent="0.35">
      <c r="A45" t="s">
        <v>124</v>
      </c>
      <c r="B45">
        <v>14</v>
      </c>
      <c r="C45" s="4" t="s">
        <v>51</v>
      </c>
      <c r="D45">
        <v>3686.81</v>
      </c>
      <c r="E45">
        <v>3710.92</v>
      </c>
      <c r="F45" t="s">
        <v>46</v>
      </c>
      <c r="G45" s="30">
        <v>0</v>
      </c>
      <c r="H45" t="s">
        <v>40</v>
      </c>
      <c r="I45" t="s">
        <v>27</v>
      </c>
      <c r="J45" t="s">
        <v>35</v>
      </c>
      <c r="K45">
        <f>B45*E45*(1-G45)</f>
        <v>51952.880000000005</v>
      </c>
      <c r="L45">
        <f>D45*B45</f>
        <v>51615.34</v>
      </c>
      <c r="M45">
        <f>K45-L45</f>
        <v>337.54000000000815</v>
      </c>
    </row>
    <row r="46" spans="1:13" hidden="1" x14ac:dyDescent="0.35">
      <c r="A46" t="s">
        <v>126</v>
      </c>
      <c r="B46">
        <v>8</v>
      </c>
      <c r="C46" s="4" t="s">
        <v>24</v>
      </c>
      <c r="D46">
        <v>3513</v>
      </c>
      <c r="E46">
        <v>3838.42</v>
      </c>
      <c r="F46" t="s">
        <v>25</v>
      </c>
      <c r="G46" s="30">
        <v>0.13</v>
      </c>
      <c r="H46" t="s">
        <v>40</v>
      </c>
      <c r="I46" t="s">
        <v>27</v>
      </c>
      <c r="J46" t="s">
        <v>35</v>
      </c>
      <c r="K46">
        <f>B46*E46*(1-G46)</f>
        <v>26715.403200000001</v>
      </c>
      <c r="L46">
        <f>D46*B46</f>
        <v>28104</v>
      </c>
      <c r="M46">
        <f>K46-L46</f>
        <v>-1388.5967999999993</v>
      </c>
    </row>
    <row r="47" spans="1:13" hidden="1" x14ac:dyDescent="0.35">
      <c r="A47" t="s">
        <v>128</v>
      </c>
      <c r="B47">
        <v>8</v>
      </c>
      <c r="C47" s="4" t="s">
        <v>51</v>
      </c>
      <c r="D47">
        <v>4271.99</v>
      </c>
      <c r="E47">
        <v>4417.79</v>
      </c>
      <c r="F47" t="s">
        <v>25</v>
      </c>
      <c r="G47" s="30">
        <v>0.04</v>
      </c>
      <c r="H47" t="s">
        <v>26</v>
      </c>
      <c r="I47" t="s">
        <v>34</v>
      </c>
      <c r="J47" t="s">
        <v>41</v>
      </c>
      <c r="K47">
        <f>B47*E47*(1-G47)</f>
        <v>33928.627199999995</v>
      </c>
      <c r="L47">
        <f>D47*B47</f>
        <v>34175.919999999998</v>
      </c>
      <c r="M47">
        <f>K47-L47</f>
        <v>-247.2928000000029</v>
      </c>
    </row>
    <row r="48" spans="1:13" hidden="1" x14ac:dyDescent="0.35">
      <c r="A48" t="s">
        <v>130</v>
      </c>
      <c r="B48">
        <v>27</v>
      </c>
      <c r="C48" s="4" t="s">
        <v>24</v>
      </c>
      <c r="D48">
        <v>623.32000000000005</v>
      </c>
      <c r="E48">
        <v>853.66</v>
      </c>
      <c r="F48" t="s">
        <v>25</v>
      </c>
      <c r="G48" s="30">
        <v>0.04</v>
      </c>
      <c r="H48" t="s">
        <v>26</v>
      </c>
      <c r="I48" t="s">
        <v>34</v>
      </c>
      <c r="J48" t="s">
        <v>41</v>
      </c>
      <c r="K48">
        <f>B48*E48*(1-G48)</f>
        <v>22126.867200000001</v>
      </c>
      <c r="L48">
        <f>D48*B48</f>
        <v>16829.640000000003</v>
      </c>
      <c r="M48">
        <f>K48-L48</f>
        <v>5297.2271999999975</v>
      </c>
    </row>
    <row r="49" spans="1:13" hidden="1" x14ac:dyDescent="0.35">
      <c r="A49" t="s">
        <v>394</v>
      </c>
      <c r="B49">
        <v>40</v>
      </c>
      <c r="C49" s="4" t="s">
        <v>24</v>
      </c>
      <c r="D49">
        <v>3536.46</v>
      </c>
      <c r="E49">
        <v>3945.82</v>
      </c>
      <c r="F49" t="s">
        <v>46</v>
      </c>
      <c r="G49" s="30">
        <v>0.12</v>
      </c>
      <c r="H49" t="s">
        <v>40</v>
      </c>
      <c r="I49" t="s">
        <v>34</v>
      </c>
      <c r="J49" t="s">
        <v>28</v>
      </c>
      <c r="K49">
        <f>B49*E49*(1-G49)</f>
        <v>138892.86400000003</v>
      </c>
      <c r="L49">
        <f>D49*B49</f>
        <v>141458.4</v>
      </c>
      <c r="M49">
        <f>K49-L49</f>
        <v>-2565.5359999999637</v>
      </c>
    </row>
    <row r="50" spans="1:13" hidden="1" x14ac:dyDescent="0.35">
      <c r="A50" t="s">
        <v>133</v>
      </c>
      <c r="B50">
        <v>1</v>
      </c>
      <c r="C50" s="4" t="s">
        <v>39</v>
      </c>
      <c r="D50">
        <v>2543.2600000000002</v>
      </c>
      <c r="E50">
        <v>2637.91</v>
      </c>
      <c r="F50" t="s">
        <v>25</v>
      </c>
      <c r="G50" s="30">
        <v>0.2</v>
      </c>
      <c r="H50" t="s">
        <v>47</v>
      </c>
      <c r="I50" t="s">
        <v>27</v>
      </c>
      <c r="J50" t="s">
        <v>35</v>
      </c>
      <c r="K50">
        <f>B50*E50*(1-G50)</f>
        <v>2110.328</v>
      </c>
      <c r="L50">
        <f>D50*B50</f>
        <v>2543.2600000000002</v>
      </c>
      <c r="M50">
        <f>K50-L50</f>
        <v>-432.93200000000024</v>
      </c>
    </row>
    <row r="51" spans="1:13" hidden="1" x14ac:dyDescent="0.35">
      <c r="A51" t="s">
        <v>384</v>
      </c>
      <c r="B51">
        <v>38</v>
      </c>
      <c r="C51" s="4" t="s">
        <v>51</v>
      </c>
      <c r="D51">
        <v>3955.66</v>
      </c>
      <c r="E51">
        <v>4270.59</v>
      </c>
      <c r="F51" t="s">
        <v>25</v>
      </c>
      <c r="G51" s="30">
        <v>0.15</v>
      </c>
      <c r="H51" t="s">
        <v>47</v>
      </c>
      <c r="I51" t="s">
        <v>34</v>
      </c>
      <c r="J51" t="s">
        <v>28</v>
      </c>
      <c r="K51">
        <f>B51*E51*(1-G51)</f>
        <v>137940.057</v>
      </c>
      <c r="L51">
        <f>D51*B51</f>
        <v>150315.07999999999</v>
      </c>
      <c r="M51">
        <f>K51-L51</f>
        <v>-12375.022999999986</v>
      </c>
    </row>
    <row r="52" spans="1:13" hidden="1" x14ac:dyDescent="0.35">
      <c r="A52" t="s">
        <v>474</v>
      </c>
      <c r="B52">
        <v>35</v>
      </c>
      <c r="C52" s="4" t="s">
        <v>24</v>
      </c>
      <c r="D52">
        <v>3925.85</v>
      </c>
      <c r="E52">
        <v>4082.11</v>
      </c>
      <c r="F52" t="s">
        <v>46</v>
      </c>
      <c r="G52" s="30">
        <v>0.09</v>
      </c>
      <c r="H52" t="s">
        <v>26</v>
      </c>
      <c r="I52" t="s">
        <v>27</v>
      </c>
      <c r="J52" t="s">
        <v>28</v>
      </c>
      <c r="K52">
        <f>B52*E52*(1-G52)</f>
        <v>130015.2035</v>
      </c>
      <c r="L52">
        <f>D52*B52</f>
        <v>137404.75</v>
      </c>
      <c r="M52">
        <f>K52-L52</f>
        <v>-7389.5464999999967</v>
      </c>
    </row>
    <row r="53" spans="1:13" hidden="1" x14ac:dyDescent="0.35">
      <c r="A53" t="s">
        <v>138</v>
      </c>
      <c r="B53">
        <v>42</v>
      </c>
      <c r="C53" s="4" t="s">
        <v>45</v>
      </c>
      <c r="D53">
        <v>3120.19</v>
      </c>
      <c r="E53">
        <v>3600.14</v>
      </c>
      <c r="F53" t="s">
        <v>25</v>
      </c>
      <c r="G53" s="30">
        <v>0.19</v>
      </c>
      <c r="H53" t="s">
        <v>47</v>
      </c>
      <c r="I53" t="s">
        <v>34</v>
      </c>
      <c r="J53" t="s">
        <v>41</v>
      </c>
      <c r="K53">
        <f>B53*E53*(1-G53)</f>
        <v>122476.76280000001</v>
      </c>
      <c r="L53">
        <f>D53*B53</f>
        <v>131047.98</v>
      </c>
      <c r="M53">
        <f>K53-L53</f>
        <v>-8571.2171999999846</v>
      </c>
    </row>
    <row r="54" spans="1:13" hidden="1" x14ac:dyDescent="0.35">
      <c r="A54" t="s">
        <v>140</v>
      </c>
      <c r="B54">
        <v>11</v>
      </c>
      <c r="C54" s="4" t="s">
        <v>45</v>
      </c>
      <c r="D54">
        <v>2414.8200000000002</v>
      </c>
      <c r="E54">
        <v>2519.0700000000002</v>
      </c>
      <c r="F54" t="s">
        <v>25</v>
      </c>
      <c r="G54" s="30">
        <v>0</v>
      </c>
      <c r="H54" t="s">
        <v>26</v>
      </c>
      <c r="I54" t="s">
        <v>27</v>
      </c>
      <c r="J54" t="s">
        <v>35</v>
      </c>
      <c r="K54">
        <f>B54*E54*(1-G54)</f>
        <v>27709.77</v>
      </c>
      <c r="L54">
        <f>D54*B54</f>
        <v>26563.02</v>
      </c>
      <c r="M54">
        <f>K54-L54</f>
        <v>1146.75</v>
      </c>
    </row>
    <row r="55" spans="1:13" hidden="1" x14ac:dyDescent="0.35">
      <c r="A55" t="s">
        <v>142</v>
      </c>
      <c r="B55">
        <v>39</v>
      </c>
      <c r="C55" s="4" t="s">
        <v>51</v>
      </c>
      <c r="D55">
        <v>2416.89</v>
      </c>
      <c r="E55">
        <v>2778.4</v>
      </c>
      <c r="F55" t="s">
        <v>25</v>
      </c>
      <c r="G55" s="30">
        <v>0.05</v>
      </c>
      <c r="H55" t="s">
        <v>26</v>
      </c>
      <c r="I55" t="s">
        <v>34</v>
      </c>
      <c r="J55" t="s">
        <v>35</v>
      </c>
      <c r="K55">
        <f>B55*E55*(1-G55)</f>
        <v>102939.72</v>
      </c>
      <c r="L55">
        <f>D55*B55</f>
        <v>94258.709999999992</v>
      </c>
      <c r="M55">
        <f>K55-L55</f>
        <v>8681.0100000000093</v>
      </c>
    </row>
    <row r="56" spans="1:13" hidden="1" x14ac:dyDescent="0.35">
      <c r="A56" t="s">
        <v>144</v>
      </c>
      <c r="B56">
        <v>43</v>
      </c>
      <c r="C56" s="4" t="s">
        <v>24</v>
      </c>
      <c r="D56">
        <v>3851.45</v>
      </c>
      <c r="E56">
        <v>4186.9799999999996</v>
      </c>
      <c r="F56" t="s">
        <v>25</v>
      </c>
      <c r="G56" s="30">
        <v>0.1</v>
      </c>
      <c r="H56" t="s">
        <v>47</v>
      </c>
      <c r="I56" t="s">
        <v>34</v>
      </c>
      <c r="J56" t="s">
        <v>35</v>
      </c>
      <c r="K56">
        <f>B56*E56*(1-G56)</f>
        <v>162036.12599999999</v>
      </c>
      <c r="L56">
        <f>D56*B56</f>
        <v>165612.35</v>
      </c>
      <c r="M56">
        <f>K56-L56</f>
        <v>-3576.2240000000165</v>
      </c>
    </row>
    <row r="57" spans="1:13" hidden="1" x14ac:dyDescent="0.35">
      <c r="A57" t="s">
        <v>146</v>
      </c>
      <c r="B57">
        <v>31</v>
      </c>
      <c r="C57" s="4" t="s">
        <v>51</v>
      </c>
      <c r="D57">
        <v>3161.4</v>
      </c>
      <c r="E57">
        <v>3339.66</v>
      </c>
      <c r="F57" t="s">
        <v>25</v>
      </c>
      <c r="G57" s="30">
        <v>0.02</v>
      </c>
      <c r="H57" t="s">
        <v>40</v>
      </c>
      <c r="I57" t="s">
        <v>34</v>
      </c>
      <c r="J57" t="s">
        <v>41</v>
      </c>
      <c r="K57">
        <f>B57*E57*(1-G57)</f>
        <v>101458.87079999999</v>
      </c>
      <c r="L57">
        <f>D57*B57</f>
        <v>98003.400000000009</v>
      </c>
      <c r="M57">
        <f>K57-L57</f>
        <v>3455.470799999981</v>
      </c>
    </row>
    <row r="58" spans="1:13" hidden="1" x14ac:dyDescent="0.35">
      <c r="A58" t="s">
        <v>147</v>
      </c>
      <c r="B58">
        <v>17</v>
      </c>
      <c r="C58" s="4" t="s">
        <v>39</v>
      </c>
      <c r="D58">
        <v>3184.65</v>
      </c>
      <c r="E58">
        <v>3204.01</v>
      </c>
      <c r="F58" t="s">
        <v>46</v>
      </c>
      <c r="G58" s="30">
        <v>0.06</v>
      </c>
      <c r="H58" t="s">
        <v>40</v>
      </c>
      <c r="I58" t="s">
        <v>27</v>
      </c>
      <c r="J58" t="s">
        <v>41</v>
      </c>
      <c r="K58">
        <f>B58*E58*(1-G58)</f>
        <v>51200.0798</v>
      </c>
      <c r="L58">
        <f>D58*B58</f>
        <v>54139.05</v>
      </c>
      <c r="M58">
        <f>K58-L58</f>
        <v>-2938.9702000000034</v>
      </c>
    </row>
    <row r="59" spans="1:13" hidden="1" x14ac:dyDescent="0.35">
      <c r="A59" t="s">
        <v>149</v>
      </c>
      <c r="B59">
        <v>33</v>
      </c>
      <c r="C59" s="4" t="s">
        <v>45</v>
      </c>
      <c r="D59">
        <v>2278.9</v>
      </c>
      <c r="E59">
        <v>2626.9</v>
      </c>
      <c r="F59" t="s">
        <v>46</v>
      </c>
      <c r="G59" s="30">
        <v>0.05</v>
      </c>
      <c r="H59" t="s">
        <v>47</v>
      </c>
      <c r="I59" t="s">
        <v>34</v>
      </c>
      <c r="J59" t="s">
        <v>41</v>
      </c>
      <c r="K59">
        <f>B59*E59*(1-G59)</f>
        <v>82353.314999999988</v>
      </c>
      <c r="L59">
        <f>D59*B59</f>
        <v>75203.7</v>
      </c>
      <c r="M59">
        <f>K59-L59</f>
        <v>7149.6149999999907</v>
      </c>
    </row>
    <row r="60" spans="1:13" hidden="1" x14ac:dyDescent="0.35">
      <c r="A60" t="s">
        <v>151</v>
      </c>
      <c r="B60">
        <v>32</v>
      </c>
      <c r="C60" s="4" t="s">
        <v>51</v>
      </c>
      <c r="D60">
        <v>2678.99</v>
      </c>
      <c r="E60">
        <v>3152.28</v>
      </c>
      <c r="F60" t="s">
        <v>25</v>
      </c>
      <c r="G60" s="30">
        <v>0.22</v>
      </c>
      <c r="H60" t="s">
        <v>26</v>
      </c>
      <c r="I60" t="s">
        <v>34</v>
      </c>
      <c r="J60" t="s">
        <v>41</v>
      </c>
      <c r="K60">
        <f>B60*E60*(1-G60)</f>
        <v>78680.908800000005</v>
      </c>
      <c r="L60">
        <f>D60*B60</f>
        <v>85727.679999999993</v>
      </c>
      <c r="M60">
        <f>K60-L60</f>
        <v>-7046.7711999999883</v>
      </c>
    </row>
    <row r="61" spans="1:13" hidden="1" x14ac:dyDescent="0.35">
      <c r="A61" t="s">
        <v>153</v>
      </c>
      <c r="B61">
        <v>29</v>
      </c>
      <c r="C61" s="4" t="s">
        <v>51</v>
      </c>
      <c r="D61">
        <v>3741.3</v>
      </c>
      <c r="E61">
        <v>4061.04</v>
      </c>
      <c r="F61" t="s">
        <v>25</v>
      </c>
      <c r="G61" s="30">
        <v>0.05</v>
      </c>
      <c r="H61" t="s">
        <v>47</v>
      </c>
      <c r="I61" t="s">
        <v>34</v>
      </c>
      <c r="J61" t="s">
        <v>41</v>
      </c>
      <c r="K61">
        <f>B61*E61*(1-G61)</f>
        <v>111881.652</v>
      </c>
      <c r="L61">
        <f>D61*B61</f>
        <v>108497.70000000001</v>
      </c>
      <c r="M61">
        <f>K61-L61</f>
        <v>3383.9519999999902</v>
      </c>
    </row>
    <row r="62" spans="1:13" hidden="1" x14ac:dyDescent="0.35">
      <c r="A62" t="s">
        <v>155</v>
      </c>
      <c r="B62">
        <v>21</v>
      </c>
      <c r="C62" s="4" t="s">
        <v>45</v>
      </c>
      <c r="D62">
        <v>4138.41</v>
      </c>
      <c r="E62">
        <v>4361.7</v>
      </c>
      <c r="F62" t="s">
        <v>25</v>
      </c>
      <c r="G62" s="30">
        <v>7.0000000000000007E-2</v>
      </c>
      <c r="H62" t="s">
        <v>47</v>
      </c>
      <c r="I62" t="s">
        <v>34</v>
      </c>
      <c r="J62" t="s">
        <v>35</v>
      </c>
      <c r="K62">
        <f>B62*E62*(1-G62)</f>
        <v>85184.000999999989</v>
      </c>
      <c r="L62">
        <f>D62*B62</f>
        <v>86906.61</v>
      </c>
      <c r="M62">
        <f>K62-L62</f>
        <v>-1722.6090000000113</v>
      </c>
    </row>
    <row r="63" spans="1:13" x14ac:dyDescent="0.35">
      <c r="A63" t="s">
        <v>417</v>
      </c>
      <c r="B63">
        <v>34</v>
      </c>
      <c r="C63" s="4" t="s">
        <v>39</v>
      </c>
      <c r="D63">
        <v>3573.3</v>
      </c>
      <c r="E63">
        <v>3740.13</v>
      </c>
      <c r="F63" t="s">
        <v>25</v>
      </c>
      <c r="G63" s="30">
        <v>0.01</v>
      </c>
      <c r="H63" t="s">
        <v>47</v>
      </c>
      <c r="I63" t="s">
        <v>27</v>
      </c>
      <c r="J63" t="s">
        <v>28</v>
      </c>
      <c r="K63">
        <f>B63*E63*(1-G63)</f>
        <v>125892.7758</v>
      </c>
      <c r="L63">
        <f>D63*B63</f>
        <v>121492.20000000001</v>
      </c>
      <c r="M63">
        <f>K63-L63</f>
        <v>4400.5757999999914</v>
      </c>
    </row>
    <row r="64" spans="1:13" hidden="1" x14ac:dyDescent="0.35">
      <c r="A64" t="s">
        <v>159</v>
      </c>
      <c r="B64">
        <v>40</v>
      </c>
      <c r="C64" s="4" t="s">
        <v>51</v>
      </c>
      <c r="D64">
        <v>4624.16</v>
      </c>
      <c r="E64">
        <v>4731.9799999999996</v>
      </c>
      <c r="F64" t="s">
        <v>46</v>
      </c>
      <c r="G64" s="30">
        <v>0.2</v>
      </c>
      <c r="H64" t="s">
        <v>40</v>
      </c>
      <c r="I64" t="s">
        <v>27</v>
      </c>
      <c r="J64" t="s">
        <v>35</v>
      </c>
      <c r="K64">
        <f>B64*E64*(1-G64)</f>
        <v>151423.35999999999</v>
      </c>
      <c r="L64">
        <f>D64*B64</f>
        <v>184966.39999999999</v>
      </c>
      <c r="M64">
        <f>K64-L64</f>
        <v>-33543.040000000008</v>
      </c>
    </row>
    <row r="65" spans="1:13" x14ac:dyDescent="0.35">
      <c r="A65" t="s">
        <v>281</v>
      </c>
      <c r="B65">
        <v>40</v>
      </c>
      <c r="C65" s="4" t="s">
        <v>45</v>
      </c>
      <c r="D65">
        <v>2790.11</v>
      </c>
      <c r="E65">
        <v>4192.37</v>
      </c>
      <c r="F65" t="s">
        <v>25</v>
      </c>
      <c r="G65" s="30">
        <v>0.26</v>
      </c>
      <c r="H65" t="s">
        <v>40</v>
      </c>
      <c r="I65" t="s">
        <v>27</v>
      </c>
      <c r="J65" t="s">
        <v>28</v>
      </c>
      <c r="K65">
        <f>B65*E65*(1-G65)</f>
        <v>124094.15199999999</v>
      </c>
      <c r="L65">
        <f>D65*B65</f>
        <v>111604.40000000001</v>
      </c>
      <c r="M65">
        <f>K65-L65</f>
        <v>12489.751999999979</v>
      </c>
    </row>
    <row r="66" spans="1:13" hidden="1" x14ac:dyDescent="0.35">
      <c r="A66" t="s">
        <v>163</v>
      </c>
      <c r="B66">
        <v>6</v>
      </c>
      <c r="C66" s="4" t="s">
        <v>24</v>
      </c>
      <c r="D66">
        <v>2831.23</v>
      </c>
      <c r="E66">
        <v>3206.98</v>
      </c>
      <c r="F66" t="s">
        <v>25</v>
      </c>
      <c r="G66" s="30">
        <v>0.06</v>
      </c>
      <c r="H66" t="s">
        <v>40</v>
      </c>
      <c r="I66" t="s">
        <v>27</v>
      </c>
      <c r="J66" t="s">
        <v>41</v>
      </c>
      <c r="K66">
        <f>B66*E66*(1-G66)</f>
        <v>18087.367200000001</v>
      </c>
      <c r="L66">
        <f>D66*B66</f>
        <v>16987.38</v>
      </c>
      <c r="M66">
        <f>K66-L66</f>
        <v>1099.9871999999996</v>
      </c>
    </row>
    <row r="67" spans="1:13" hidden="1" x14ac:dyDescent="0.35">
      <c r="A67" t="s">
        <v>193</v>
      </c>
      <c r="B67">
        <v>39</v>
      </c>
      <c r="C67" s="4" t="s">
        <v>39</v>
      </c>
      <c r="D67">
        <v>3577.69</v>
      </c>
      <c r="E67">
        <v>3931.25</v>
      </c>
      <c r="F67" t="s">
        <v>25</v>
      </c>
      <c r="G67" s="30">
        <v>0.21</v>
      </c>
      <c r="H67" t="s">
        <v>26</v>
      </c>
      <c r="I67" t="s">
        <v>27</v>
      </c>
      <c r="J67" t="s">
        <v>28</v>
      </c>
      <c r="K67">
        <f>B67*E67*(1-G67)</f>
        <v>121121.8125</v>
      </c>
      <c r="L67">
        <f>D67*B67</f>
        <v>139529.91</v>
      </c>
      <c r="M67">
        <f>K67-L67</f>
        <v>-18408.097500000003</v>
      </c>
    </row>
    <row r="68" spans="1:13" hidden="1" x14ac:dyDescent="0.35">
      <c r="A68" t="s">
        <v>167</v>
      </c>
      <c r="B68">
        <v>38</v>
      </c>
      <c r="C68" s="4" t="s">
        <v>45</v>
      </c>
      <c r="D68">
        <v>4635.2299999999996</v>
      </c>
      <c r="E68">
        <v>5075.4399999999996</v>
      </c>
      <c r="F68" t="s">
        <v>25</v>
      </c>
      <c r="G68" s="30">
        <v>0.05</v>
      </c>
      <c r="H68" t="s">
        <v>26</v>
      </c>
      <c r="I68" t="s">
        <v>27</v>
      </c>
      <c r="J68" t="s">
        <v>35</v>
      </c>
      <c r="K68">
        <f>B68*E68*(1-G68)</f>
        <v>183223.38399999996</v>
      </c>
      <c r="L68">
        <f>D68*B68</f>
        <v>176138.74</v>
      </c>
      <c r="M68">
        <f>K68-L68</f>
        <v>7084.6439999999711</v>
      </c>
    </row>
    <row r="69" spans="1:13" hidden="1" x14ac:dyDescent="0.35">
      <c r="A69" t="s">
        <v>169</v>
      </c>
      <c r="B69">
        <v>37</v>
      </c>
      <c r="C69" s="4" t="s">
        <v>51</v>
      </c>
      <c r="D69">
        <v>3114.88</v>
      </c>
      <c r="E69">
        <v>5256.78</v>
      </c>
      <c r="F69" t="s">
        <v>25</v>
      </c>
      <c r="G69" s="30">
        <v>0.26</v>
      </c>
      <c r="H69" t="s">
        <v>47</v>
      </c>
      <c r="I69" t="s">
        <v>27</v>
      </c>
      <c r="J69" t="s">
        <v>35</v>
      </c>
      <c r="K69">
        <f>B69*E69*(1-G69)</f>
        <v>143930.63639999999</v>
      </c>
      <c r="L69">
        <f>D69*B69</f>
        <v>115250.56</v>
      </c>
      <c r="M69">
        <f>K69-L69</f>
        <v>28680.076399999991</v>
      </c>
    </row>
    <row r="70" spans="1:13" hidden="1" x14ac:dyDescent="0.35">
      <c r="A70" t="s">
        <v>69</v>
      </c>
      <c r="B70">
        <v>30</v>
      </c>
      <c r="C70" s="4" t="s">
        <v>24</v>
      </c>
      <c r="D70">
        <v>4190.28</v>
      </c>
      <c r="E70">
        <v>4270.6499999999996</v>
      </c>
      <c r="F70" t="s">
        <v>46</v>
      </c>
      <c r="G70" s="30">
        <v>0.06</v>
      </c>
      <c r="H70" t="s">
        <v>26</v>
      </c>
      <c r="I70" t="s">
        <v>34</v>
      </c>
      <c r="J70" t="s">
        <v>28</v>
      </c>
      <c r="K70">
        <f>B70*E70*(1-G70)</f>
        <v>120432.32999999997</v>
      </c>
      <c r="L70">
        <f>D70*B70</f>
        <v>125708.4</v>
      </c>
      <c r="M70">
        <f>K70-L70</f>
        <v>-5276.0700000000215</v>
      </c>
    </row>
    <row r="71" spans="1:13" hidden="1" x14ac:dyDescent="0.35">
      <c r="A71" t="s">
        <v>173</v>
      </c>
      <c r="B71">
        <v>8</v>
      </c>
      <c r="C71" s="4" t="s">
        <v>24</v>
      </c>
      <c r="D71">
        <v>3459.61</v>
      </c>
      <c r="E71">
        <v>3657.23</v>
      </c>
      <c r="F71" t="s">
        <v>25</v>
      </c>
      <c r="G71" s="30">
        <v>0.03</v>
      </c>
      <c r="H71" t="s">
        <v>40</v>
      </c>
      <c r="I71" t="s">
        <v>34</v>
      </c>
      <c r="J71" t="s">
        <v>41</v>
      </c>
      <c r="K71">
        <f>B71*E71*(1-G71)</f>
        <v>28380.104800000001</v>
      </c>
      <c r="L71">
        <f>D71*B71</f>
        <v>27676.880000000001</v>
      </c>
      <c r="M71">
        <f>K71-L71</f>
        <v>703.22479999999996</v>
      </c>
    </row>
    <row r="72" spans="1:13" hidden="1" x14ac:dyDescent="0.35">
      <c r="A72" t="s">
        <v>175</v>
      </c>
      <c r="B72">
        <v>41</v>
      </c>
      <c r="C72" s="4" t="s">
        <v>24</v>
      </c>
      <c r="D72">
        <v>2782.08</v>
      </c>
      <c r="E72">
        <v>3879.24</v>
      </c>
      <c r="F72" t="s">
        <v>46</v>
      </c>
      <c r="G72" s="30">
        <v>0.21</v>
      </c>
      <c r="H72" t="s">
        <v>40</v>
      </c>
      <c r="I72" t="s">
        <v>34</v>
      </c>
      <c r="J72" t="s">
        <v>41</v>
      </c>
      <c r="K72">
        <f>B72*E72*(1-G72)</f>
        <v>125648.5836</v>
      </c>
      <c r="L72">
        <f>D72*B72</f>
        <v>114065.28</v>
      </c>
      <c r="M72">
        <f>K72-L72</f>
        <v>11583.303599999999</v>
      </c>
    </row>
    <row r="73" spans="1:13" hidden="1" x14ac:dyDescent="0.35">
      <c r="A73" t="s">
        <v>177</v>
      </c>
      <c r="B73">
        <v>49</v>
      </c>
      <c r="C73" s="4" t="s">
        <v>45</v>
      </c>
      <c r="D73">
        <v>1247.0999999999999</v>
      </c>
      <c r="E73">
        <v>1429.44</v>
      </c>
      <c r="F73" t="s">
        <v>46</v>
      </c>
      <c r="G73" s="30">
        <v>0.16</v>
      </c>
      <c r="H73" t="s">
        <v>26</v>
      </c>
      <c r="I73" t="s">
        <v>27</v>
      </c>
      <c r="J73" t="s">
        <v>35</v>
      </c>
      <c r="K73">
        <f>B73*E73*(1-G73)</f>
        <v>58835.750399999997</v>
      </c>
      <c r="L73">
        <f>D73*B73</f>
        <v>61107.899999999994</v>
      </c>
      <c r="M73">
        <f>K73-L73</f>
        <v>-2272.149599999997</v>
      </c>
    </row>
    <row r="74" spans="1:13" x14ac:dyDescent="0.35">
      <c r="A74" t="s">
        <v>371</v>
      </c>
      <c r="B74">
        <v>40</v>
      </c>
      <c r="C74" s="4" t="s">
        <v>24</v>
      </c>
      <c r="D74">
        <v>2799.71</v>
      </c>
      <c r="E74">
        <v>4231.08</v>
      </c>
      <c r="F74" t="s">
        <v>25</v>
      </c>
      <c r="G74" s="30">
        <v>0.28999999999999998</v>
      </c>
      <c r="H74" t="s">
        <v>47</v>
      </c>
      <c r="I74" t="s">
        <v>34</v>
      </c>
      <c r="J74" t="s">
        <v>28</v>
      </c>
      <c r="K74">
        <f>B74*E74*(1-G74)</f>
        <v>120162.67200000001</v>
      </c>
      <c r="L74">
        <f>D74*B74</f>
        <v>111988.4</v>
      </c>
      <c r="M74">
        <f>K74-L74</f>
        <v>8174.2720000000118</v>
      </c>
    </row>
    <row r="75" spans="1:13" hidden="1" x14ac:dyDescent="0.35">
      <c r="A75" t="s">
        <v>181</v>
      </c>
      <c r="B75">
        <v>11</v>
      </c>
      <c r="C75" s="4" t="s">
        <v>45</v>
      </c>
      <c r="D75">
        <v>4840.33</v>
      </c>
      <c r="E75">
        <v>5084.29</v>
      </c>
      <c r="F75" t="s">
        <v>46</v>
      </c>
      <c r="G75" s="30">
        <v>0.13</v>
      </c>
      <c r="H75" t="s">
        <v>26</v>
      </c>
      <c r="I75" t="s">
        <v>34</v>
      </c>
      <c r="J75" t="s">
        <v>41</v>
      </c>
      <c r="K75">
        <f>B75*E75*(1-G75)</f>
        <v>48656.655299999999</v>
      </c>
      <c r="L75">
        <f>D75*B75</f>
        <v>53243.63</v>
      </c>
      <c r="M75">
        <f>K75-L75</f>
        <v>-4586.9746999999988</v>
      </c>
    </row>
    <row r="76" spans="1:13" hidden="1" x14ac:dyDescent="0.35">
      <c r="A76" t="s">
        <v>183</v>
      </c>
      <c r="B76">
        <v>24</v>
      </c>
      <c r="C76" s="4" t="s">
        <v>24</v>
      </c>
      <c r="D76">
        <v>3305.94</v>
      </c>
      <c r="E76">
        <v>3599.27</v>
      </c>
      <c r="F76" t="s">
        <v>46</v>
      </c>
      <c r="G76" s="30">
        <v>0.09</v>
      </c>
      <c r="H76" t="s">
        <v>47</v>
      </c>
      <c r="I76" t="s">
        <v>34</v>
      </c>
      <c r="J76" t="s">
        <v>41</v>
      </c>
      <c r="K76">
        <f>B76*E76*(1-G76)</f>
        <v>78608.056800000006</v>
      </c>
      <c r="L76">
        <f>D76*B76</f>
        <v>79342.559999999998</v>
      </c>
      <c r="M76">
        <f>K76-L76</f>
        <v>-734.50319999999192</v>
      </c>
    </row>
    <row r="77" spans="1:13" hidden="1" x14ac:dyDescent="0.35">
      <c r="A77" t="s">
        <v>185</v>
      </c>
      <c r="B77">
        <v>49</v>
      </c>
      <c r="C77" s="4" t="s">
        <v>39</v>
      </c>
      <c r="D77">
        <v>2843.76</v>
      </c>
      <c r="E77">
        <v>3146.6</v>
      </c>
      <c r="F77" t="s">
        <v>46</v>
      </c>
      <c r="G77" s="30">
        <v>0.08</v>
      </c>
      <c r="H77" t="s">
        <v>26</v>
      </c>
      <c r="I77" t="s">
        <v>27</v>
      </c>
      <c r="J77" t="s">
        <v>35</v>
      </c>
      <c r="K77">
        <f>B77*E77*(1-G77)</f>
        <v>141848.728</v>
      </c>
      <c r="L77">
        <f>D77*B77</f>
        <v>139344.24000000002</v>
      </c>
      <c r="M77">
        <f>K77-L77</f>
        <v>2504.487999999983</v>
      </c>
    </row>
    <row r="78" spans="1:13" hidden="1" x14ac:dyDescent="0.35">
      <c r="A78" t="s">
        <v>187</v>
      </c>
      <c r="B78">
        <v>21</v>
      </c>
      <c r="C78" s="4" t="s">
        <v>24</v>
      </c>
      <c r="D78">
        <v>4668.1400000000003</v>
      </c>
      <c r="E78">
        <v>5040.22</v>
      </c>
      <c r="F78" t="s">
        <v>46</v>
      </c>
      <c r="G78" s="30">
        <v>0.05</v>
      </c>
      <c r="H78" t="s">
        <v>40</v>
      </c>
      <c r="I78" t="s">
        <v>34</v>
      </c>
      <c r="J78" t="s">
        <v>41</v>
      </c>
      <c r="K78">
        <f>B78*E78*(1-G78)</f>
        <v>100552.38900000001</v>
      </c>
      <c r="L78">
        <f>D78*B78</f>
        <v>98030.94</v>
      </c>
      <c r="M78">
        <f>K78-L78</f>
        <v>2521.4490000000078</v>
      </c>
    </row>
    <row r="79" spans="1:13" hidden="1" x14ac:dyDescent="0.35">
      <c r="A79" t="s">
        <v>471</v>
      </c>
      <c r="B79">
        <v>49</v>
      </c>
      <c r="C79" s="4" t="s">
        <v>24</v>
      </c>
      <c r="D79">
        <v>2315</v>
      </c>
      <c r="E79">
        <v>2467.2800000000002</v>
      </c>
      <c r="F79" t="s">
        <v>46</v>
      </c>
      <c r="G79" s="30">
        <v>0.15</v>
      </c>
      <c r="H79" t="s">
        <v>40</v>
      </c>
      <c r="I79" t="s">
        <v>27</v>
      </c>
      <c r="J79" t="s">
        <v>28</v>
      </c>
      <c r="K79">
        <f>B79*E79*(1-G79)</f>
        <v>102762.21200000001</v>
      </c>
      <c r="L79">
        <f>D79*B79</f>
        <v>113435</v>
      </c>
      <c r="M79">
        <f>K79-L79</f>
        <v>-10672.787999999986</v>
      </c>
    </row>
    <row r="80" spans="1:13" hidden="1" x14ac:dyDescent="0.35">
      <c r="A80" t="s">
        <v>190</v>
      </c>
      <c r="B80">
        <v>40</v>
      </c>
      <c r="C80" s="4" t="s">
        <v>24</v>
      </c>
      <c r="D80">
        <v>2654.11</v>
      </c>
      <c r="E80">
        <v>2929.32</v>
      </c>
      <c r="F80" t="s">
        <v>25</v>
      </c>
      <c r="G80" s="30">
        <v>0.08</v>
      </c>
      <c r="H80" t="s">
        <v>26</v>
      </c>
      <c r="I80" t="s">
        <v>34</v>
      </c>
      <c r="J80" t="s">
        <v>35</v>
      </c>
      <c r="K80">
        <f>B80*E80*(1-G80)</f>
        <v>107798.97600000001</v>
      </c>
      <c r="L80">
        <f>D80*B80</f>
        <v>106164.40000000001</v>
      </c>
      <c r="M80">
        <f>K80-L80</f>
        <v>1634.5760000000009</v>
      </c>
    </row>
    <row r="81" spans="1:13" hidden="1" x14ac:dyDescent="0.35">
      <c r="A81" t="s">
        <v>191</v>
      </c>
      <c r="B81">
        <v>19</v>
      </c>
      <c r="C81" s="4" t="s">
        <v>51</v>
      </c>
      <c r="D81">
        <v>3808.59</v>
      </c>
      <c r="E81">
        <v>4544.51</v>
      </c>
      <c r="F81" t="s">
        <v>46</v>
      </c>
      <c r="G81" s="30">
        <v>0.21</v>
      </c>
      <c r="H81" t="s">
        <v>47</v>
      </c>
      <c r="I81" t="s">
        <v>27</v>
      </c>
      <c r="J81" t="s">
        <v>35</v>
      </c>
      <c r="K81">
        <f>B81*E81*(1-G81)</f>
        <v>68213.095100000006</v>
      </c>
      <c r="L81">
        <f>D81*B81</f>
        <v>72363.210000000006</v>
      </c>
      <c r="M81">
        <f>K81-L81</f>
        <v>-4150.1149000000005</v>
      </c>
    </row>
    <row r="82" spans="1:13" x14ac:dyDescent="0.35">
      <c r="A82" t="s">
        <v>331</v>
      </c>
      <c r="B82">
        <v>25</v>
      </c>
      <c r="C82" s="4" t="s">
        <v>24</v>
      </c>
      <c r="D82">
        <v>4037.73</v>
      </c>
      <c r="E82">
        <v>4446.45</v>
      </c>
      <c r="F82" t="s">
        <v>25</v>
      </c>
      <c r="G82" s="30">
        <v>0.09</v>
      </c>
      <c r="H82" t="s">
        <v>40</v>
      </c>
      <c r="I82" t="s">
        <v>27</v>
      </c>
      <c r="J82" t="s">
        <v>28</v>
      </c>
      <c r="K82">
        <f>B82*E82*(1-G82)</f>
        <v>101156.7375</v>
      </c>
      <c r="L82">
        <f>D82*B82</f>
        <v>100943.25</v>
      </c>
      <c r="M82">
        <f>K82-L82</f>
        <v>213.48750000000291</v>
      </c>
    </row>
    <row r="83" spans="1:13" hidden="1" x14ac:dyDescent="0.35">
      <c r="A83" t="s">
        <v>195</v>
      </c>
      <c r="B83">
        <v>28</v>
      </c>
      <c r="C83" s="4" t="s">
        <v>45</v>
      </c>
      <c r="D83">
        <v>1006.14</v>
      </c>
      <c r="E83">
        <v>2043.45</v>
      </c>
      <c r="F83" t="s">
        <v>46</v>
      </c>
      <c r="G83" s="30">
        <v>0.15</v>
      </c>
      <c r="H83" t="s">
        <v>40</v>
      </c>
      <c r="I83" t="s">
        <v>34</v>
      </c>
      <c r="J83" t="s">
        <v>35</v>
      </c>
      <c r="K83">
        <f>B83*E83*(1-G83)</f>
        <v>48634.11</v>
      </c>
      <c r="L83">
        <f>D83*B83</f>
        <v>28171.919999999998</v>
      </c>
      <c r="M83">
        <f>K83-L83</f>
        <v>20462.190000000002</v>
      </c>
    </row>
    <row r="84" spans="1:13" hidden="1" x14ac:dyDescent="0.35">
      <c r="A84" t="s">
        <v>197</v>
      </c>
      <c r="B84">
        <v>17</v>
      </c>
      <c r="C84" s="4" t="s">
        <v>45</v>
      </c>
      <c r="D84">
        <v>2382.98</v>
      </c>
      <c r="E84">
        <v>2839.73</v>
      </c>
      <c r="F84" t="s">
        <v>25</v>
      </c>
      <c r="G84" s="30">
        <v>0.23</v>
      </c>
      <c r="H84" t="s">
        <v>40</v>
      </c>
      <c r="I84" t="s">
        <v>27</v>
      </c>
      <c r="J84" t="s">
        <v>41</v>
      </c>
      <c r="K84">
        <f>B84*E84*(1-G84)</f>
        <v>37172.065700000006</v>
      </c>
      <c r="L84">
        <f>D84*B84</f>
        <v>40510.660000000003</v>
      </c>
      <c r="M84">
        <f>K84-L84</f>
        <v>-3338.594299999997</v>
      </c>
    </row>
    <row r="85" spans="1:13" hidden="1" x14ac:dyDescent="0.35">
      <c r="A85" t="s">
        <v>199</v>
      </c>
      <c r="B85">
        <v>6</v>
      </c>
      <c r="C85" s="4" t="s">
        <v>24</v>
      </c>
      <c r="D85">
        <v>2388.9499999999998</v>
      </c>
      <c r="E85">
        <v>2742.97</v>
      </c>
      <c r="F85" t="s">
        <v>25</v>
      </c>
      <c r="G85" s="30">
        <v>0.25</v>
      </c>
      <c r="H85" t="s">
        <v>47</v>
      </c>
      <c r="I85" t="s">
        <v>27</v>
      </c>
      <c r="J85" t="s">
        <v>41</v>
      </c>
      <c r="K85">
        <f>B85*E85*(1-G85)</f>
        <v>12343.365</v>
      </c>
      <c r="L85">
        <f>D85*B85</f>
        <v>14333.699999999999</v>
      </c>
      <c r="M85">
        <f>K85-L85</f>
        <v>-1990.3349999999991</v>
      </c>
    </row>
    <row r="86" spans="1:13" hidden="1" x14ac:dyDescent="0.35">
      <c r="A86" t="s">
        <v>136</v>
      </c>
      <c r="B86">
        <v>40</v>
      </c>
      <c r="C86" s="4" t="s">
        <v>24</v>
      </c>
      <c r="D86">
        <v>2565.3000000000002</v>
      </c>
      <c r="E86">
        <v>3007.47</v>
      </c>
      <c r="F86" t="s">
        <v>25</v>
      </c>
      <c r="G86" s="30">
        <v>0.17</v>
      </c>
      <c r="H86" t="s">
        <v>47</v>
      </c>
      <c r="I86" t="s">
        <v>34</v>
      </c>
      <c r="J86" t="s">
        <v>28</v>
      </c>
      <c r="K86">
        <f>B86*E86*(1-G86)</f>
        <v>99848.003999999986</v>
      </c>
      <c r="L86">
        <f>D86*B86</f>
        <v>102612</v>
      </c>
      <c r="M86">
        <f>K86-L86</f>
        <v>-2763.9960000000137</v>
      </c>
    </row>
    <row r="87" spans="1:13" hidden="1" x14ac:dyDescent="0.35">
      <c r="A87" t="s">
        <v>202</v>
      </c>
      <c r="B87">
        <v>38</v>
      </c>
      <c r="C87" s="4" t="s">
        <v>39</v>
      </c>
      <c r="D87">
        <v>2610.6</v>
      </c>
      <c r="E87">
        <v>3836.94</v>
      </c>
      <c r="F87" t="s">
        <v>25</v>
      </c>
      <c r="G87" s="30">
        <v>0.19</v>
      </c>
      <c r="H87" t="s">
        <v>47</v>
      </c>
      <c r="I87" t="s">
        <v>34</v>
      </c>
      <c r="J87" t="s">
        <v>41</v>
      </c>
      <c r="K87">
        <f>B87*E87*(1-G87)</f>
        <v>118101.01320000002</v>
      </c>
      <c r="L87">
        <f>D87*B87</f>
        <v>99202.8</v>
      </c>
      <c r="M87">
        <f>K87-L87</f>
        <v>18898.213200000013</v>
      </c>
    </row>
    <row r="88" spans="1:13" x14ac:dyDescent="0.35">
      <c r="A88" t="s">
        <v>103</v>
      </c>
      <c r="B88">
        <v>44</v>
      </c>
      <c r="C88" s="4" t="s">
        <v>39</v>
      </c>
      <c r="D88">
        <v>2085.46</v>
      </c>
      <c r="E88">
        <v>2406.58</v>
      </c>
      <c r="F88" t="s">
        <v>25</v>
      </c>
      <c r="G88" s="30">
        <v>0.06</v>
      </c>
      <c r="H88" t="s">
        <v>40</v>
      </c>
      <c r="I88" t="s">
        <v>27</v>
      </c>
      <c r="J88" t="s">
        <v>28</v>
      </c>
      <c r="K88">
        <f>B88*E88*(1-G88)</f>
        <v>99536.148799999981</v>
      </c>
      <c r="L88">
        <f>D88*B88</f>
        <v>91760.24</v>
      </c>
      <c r="M88">
        <f>K88-L88</f>
        <v>7775.9087999999756</v>
      </c>
    </row>
    <row r="89" spans="1:13" hidden="1" x14ac:dyDescent="0.35">
      <c r="A89" t="s">
        <v>480</v>
      </c>
      <c r="B89">
        <v>25</v>
      </c>
      <c r="C89" s="4" t="s">
        <v>51</v>
      </c>
      <c r="D89">
        <v>4148.4799999999996</v>
      </c>
      <c r="E89">
        <v>4293.6899999999996</v>
      </c>
      <c r="F89" t="s">
        <v>46</v>
      </c>
      <c r="G89" s="30">
        <v>0.11</v>
      </c>
      <c r="H89" t="s">
        <v>40</v>
      </c>
      <c r="I89" t="s">
        <v>27</v>
      </c>
      <c r="J89" t="s">
        <v>28</v>
      </c>
      <c r="K89">
        <f>B89*E89*(1-G89)</f>
        <v>95534.602499999994</v>
      </c>
      <c r="L89">
        <f>D89*B89</f>
        <v>103711.99999999999</v>
      </c>
      <c r="M89">
        <f>K89-L89</f>
        <v>-8177.3974999999919</v>
      </c>
    </row>
    <row r="90" spans="1:13" hidden="1" x14ac:dyDescent="0.35">
      <c r="A90" t="s">
        <v>207</v>
      </c>
      <c r="B90">
        <v>38</v>
      </c>
      <c r="C90" s="4" t="s">
        <v>39</v>
      </c>
      <c r="D90">
        <v>2091.21</v>
      </c>
      <c r="E90">
        <v>2527</v>
      </c>
      <c r="F90" t="s">
        <v>25</v>
      </c>
      <c r="G90" s="30">
        <v>0.01</v>
      </c>
      <c r="H90" t="s">
        <v>47</v>
      </c>
      <c r="I90" t="s">
        <v>27</v>
      </c>
      <c r="J90" t="s">
        <v>41</v>
      </c>
      <c r="K90">
        <f>B90*E90*(1-G90)</f>
        <v>95065.74</v>
      </c>
      <c r="L90">
        <f>D90*B90</f>
        <v>79465.98</v>
      </c>
      <c r="M90">
        <f>K90-L90</f>
        <v>15599.760000000009</v>
      </c>
    </row>
    <row r="91" spans="1:13" x14ac:dyDescent="0.35">
      <c r="A91" t="s">
        <v>477</v>
      </c>
      <c r="B91">
        <v>22</v>
      </c>
      <c r="C91" s="4" t="s">
        <v>39</v>
      </c>
      <c r="D91">
        <v>4236.05</v>
      </c>
      <c r="E91">
        <v>4382.32</v>
      </c>
      <c r="F91" t="s">
        <v>46</v>
      </c>
      <c r="G91" s="30">
        <v>0.03</v>
      </c>
      <c r="H91" t="s">
        <v>40</v>
      </c>
      <c r="I91" t="s">
        <v>27</v>
      </c>
      <c r="J91" t="s">
        <v>28</v>
      </c>
      <c r="K91">
        <f>B91*E91*(1-G91)</f>
        <v>93518.708799999993</v>
      </c>
      <c r="L91">
        <f>D91*B91</f>
        <v>93193.1</v>
      </c>
      <c r="M91">
        <f>K91-L91</f>
        <v>325.60879999998724</v>
      </c>
    </row>
    <row r="92" spans="1:13" hidden="1" x14ac:dyDescent="0.35">
      <c r="A92" t="s">
        <v>210</v>
      </c>
      <c r="B92">
        <v>4</v>
      </c>
      <c r="C92" s="4" t="s">
        <v>24</v>
      </c>
      <c r="D92">
        <v>2900.14</v>
      </c>
      <c r="E92">
        <v>2910.51</v>
      </c>
      <c r="F92" t="s">
        <v>46</v>
      </c>
      <c r="G92" s="30">
        <v>0.22</v>
      </c>
      <c r="H92" t="s">
        <v>47</v>
      </c>
      <c r="I92" t="s">
        <v>27</v>
      </c>
      <c r="J92" t="s">
        <v>41</v>
      </c>
      <c r="K92">
        <f>B92*E92*(1-G92)</f>
        <v>9080.7912000000015</v>
      </c>
      <c r="L92">
        <f>D92*B92</f>
        <v>11600.56</v>
      </c>
      <c r="M92">
        <f>K92-L92</f>
        <v>-2519.768799999998</v>
      </c>
    </row>
    <row r="93" spans="1:13" hidden="1" x14ac:dyDescent="0.35">
      <c r="A93" t="s">
        <v>211</v>
      </c>
      <c r="B93">
        <v>22</v>
      </c>
      <c r="C93" s="4" t="s">
        <v>51</v>
      </c>
      <c r="D93">
        <v>4275.59</v>
      </c>
      <c r="E93">
        <v>4576.72</v>
      </c>
      <c r="F93" t="s">
        <v>25</v>
      </c>
      <c r="G93" s="30">
        <v>0.02</v>
      </c>
      <c r="H93" t="s">
        <v>26</v>
      </c>
      <c r="I93" t="s">
        <v>27</v>
      </c>
      <c r="J93" t="s">
        <v>35</v>
      </c>
      <c r="K93">
        <f>B93*E93*(1-G93)</f>
        <v>98674.083200000008</v>
      </c>
      <c r="L93">
        <f>D93*B93</f>
        <v>94062.98000000001</v>
      </c>
      <c r="M93">
        <f>K93-L93</f>
        <v>4611.1031999999977</v>
      </c>
    </row>
    <row r="94" spans="1:13" hidden="1" x14ac:dyDescent="0.35">
      <c r="A94" t="s">
        <v>212</v>
      </c>
      <c r="B94">
        <v>26</v>
      </c>
      <c r="C94" s="4" t="s">
        <v>39</v>
      </c>
      <c r="D94">
        <v>3640.17</v>
      </c>
      <c r="E94">
        <v>4002.63</v>
      </c>
      <c r="F94" t="s">
        <v>46</v>
      </c>
      <c r="G94" s="30">
        <v>0.05</v>
      </c>
      <c r="H94" t="s">
        <v>47</v>
      </c>
      <c r="I94" t="s">
        <v>34</v>
      </c>
      <c r="J94" t="s">
        <v>35</v>
      </c>
      <c r="K94">
        <f>B94*E94*(1-G94)</f>
        <v>98864.960999999996</v>
      </c>
      <c r="L94">
        <f>D94*B94</f>
        <v>94644.42</v>
      </c>
      <c r="M94">
        <f>K94-L94</f>
        <v>4220.5409999999974</v>
      </c>
    </row>
    <row r="95" spans="1:13" x14ac:dyDescent="0.35">
      <c r="A95" t="s">
        <v>431</v>
      </c>
      <c r="B95">
        <v>42</v>
      </c>
      <c r="C95" s="4" t="s">
        <v>39</v>
      </c>
      <c r="D95">
        <v>2069.0500000000002</v>
      </c>
      <c r="E95">
        <v>2363.9</v>
      </c>
      <c r="F95" t="s">
        <v>25</v>
      </c>
      <c r="G95" s="30">
        <v>7.0000000000000007E-2</v>
      </c>
      <c r="H95" t="s">
        <v>26</v>
      </c>
      <c r="I95" t="s">
        <v>27</v>
      </c>
      <c r="J95" t="s">
        <v>28</v>
      </c>
      <c r="K95">
        <f>B95*E95*(1-G95)</f>
        <v>92333.933999999994</v>
      </c>
      <c r="L95">
        <f>D95*B95</f>
        <v>86900.1</v>
      </c>
      <c r="M95">
        <f>K95-L95</f>
        <v>5433.833999999988</v>
      </c>
    </row>
    <row r="96" spans="1:13" hidden="1" x14ac:dyDescent="0.35">
      <c r="A96" t="s">
        <v>215</v>
      </c>
      <c r="B96">
        <v>43</v>
      </c>
      <c r="C96" s="4" t="s">
        <v>24</v>
      </c>
      <c r="D96">
        <v>481</v>
      </c>
      <c r="E96">
        <v>531.02</v>
      </c>
      <c r="F96" t="s">
        <v>46</v>
      </c>
      <c r="G96" s="30">
        <v>0.17</v>
      </c>
      <c r="H96" t="s">
        <v>26</v>
      </c>
      <c r="I96" t="s">
        <v>27</v>
      </c>
      <c r="J96" t="s">
        <v>41</v>
      </c>
      <c r="K96">
        <f>B96*E96*(1-G96)</f>
        <v>18952.103800000001</v>
      </c>
      <c r="L96">
        <f>D96*B96</f>
        <v>20683</v>
      </c>
      <c r="M96">
        <f>K96-L96</f>
        <v>-1730.8961999999992</v>
      </c>
    </row>
    <row r="97" spans="1:13" hidden="1" x14ac:dyDescent="0.35">
      <c r="A97" t="s">
        <v>217</v>
      </c>
      <c r="B97">
        <v>36</v>
      </c>
      <c r="C97" s="4" t="s">
        <v>39</v>
      </c>
      <c r="D97">
        <v>1050.6400000000001</v>
      </c>
      <c r="E97">
        <v>1167.33</v>
      </c>
      <c r="F97" t="s">
        <v>46</v>
      </c>
      <c r="G97" s="30">
        <v>0.22</v>
      </c>
      <c r="H97" t="s">
        <v>26</v>
      </c>
      <c r="I97" t="s">
        <v>27</v>
      </c>
      <c r="J97" t="s">
        <v>41</v>
      </c>
      <c r="K97">
        <f>B97*E97*(1-G97)</f>
        <v>32778.626400000001</v>
      </c>
      <c r="L97">
        <f>D97*B97</f>
        <v>37823.040000000001</v>
      </c>
      <c r="M97">
        <f>K97-L97</f>
        <v>-5044.4135999999999</v>
      </c>
    </row>
    <row r="98" spans="1:13" hidden="1" x14ac:dyDescent="0.35">
      <c r="A98" t="s">
        <v>218</v>
      </c>
      <c r="B98">
        <v>13</v>
      </c>
      <c r="C98" s="4" t="s">
        <v>45</v>
      </c>
      <c r="D98">
        <v>2750.18</v>
      </c>
      <c r="E98">
        <v>2882.85</v>
      </c>
      <c r="F98" t="s">
        <v>25</v>
      </c>
      <c r="G98" s="30">
        <v>0.24</v>
      </c>
      <c r="H98" t="s">
        <v>47</v>
      </c>
      <c r="I98" t="s">
        <v>34</v>
      </c>
      <c r="J98" t="s">
        <v>35</v>
      </c>
      <c r="K98">
        <f>B98*E98*(1-G98)</f>
        <v>28482.557999999997</v>
      </c>
      <c r="L98">
        <f>D98*B98</f>
        <v>35752.339999999997</v>
      </c>
      <c r="M98">
        <f>K98-L98</f>
        <v>-7269.7819999999992</v>
      </c>
    </row>
    <row r="99" spans="1:13" hidden="1" x14ac:dyDescent="0.35">
      <c r="A99" t="s">
        <v>219</v>
      </c>
      <c r="B99">
        <v>32</v>
      </c>
      <c r="C99" s="4" t="s">
        <v>24</v>
      </c>
      <c r="D99">
        <v>1074.93</v>
      </c>
      <c r="E99">
        <v>1492.48</v>
      </c>
      <c r="F99" t="s">
        <v>25</v>
      </c>
      <c r="G99" s="30">
        <v>0.04</v>
      </c>
      <c r="H99" t="s">
        <v>47</v>
      </c>
      <c r="I99" t="s">
        <v>34</v>
      </c>
      <c r="J99" t="s">
        <v>35</v>
      </c>
      <c r="K99">
        <f>B99*E99*(1-G99)</f>
        <v>45848.9856</v>
      </c>
      <c r="L99">
        <f>D99*B99</f>
        <v>34397.760000000002</v>
      </c>
      <c r="M99">
        <f>K99-L99</f>
        <v>11451.225599999998</v>
      </c>
    </row>
    <row r="100" spans="1:13" hidden="1" x14ac:dyDescent="0.35">
      <c r="A100" t="s">
        <v>221</v>
      </c>
      <c r="B100">
        <v>17</v>
      </c>
      <c r="C100" s="4" t="s">
        <v>24</v>
      </c>
      <c r="D100">
        <v>2742.67</v>
      </c>
      <c r="E100">
        <v>2979.64</v>
      </c>
      <c r="F100" t="s">
        <v>25</v>
      </c>
      <c r="G100" s="30">
        <v>0.01</v>
      </c>
      <c r="H100" t="s">
        <v>26</v>
      </c>
      <c r="I100" t="s">
        <v>34</v>
      </c>
      <c r="J100" t="s">
        <v>41</v>
      </c>
      <c r="K100">
        <f>B100*E100*(1-G100)</f>
        <v>50147.341199999995</v>
      </c>
      <c r="L100">
        <f>D100*B100</f>
        <v>46625.39</v>
      </c>
      <c r="M100">
        <f>K100-L100</f>
        <v>3521.9511999999959</v>
      </c>
    </row>
    <row r="101" spans="1:13" hidden="1" x14ac:dyDescent="0.35">
      <c r="A101" t="s">
        <v>342</v>
      </c>
      <c r="B101">
        <v>46</v>
      </c>
      <c r="C101" s="4" t="s">
        <v>24</v>
      </c>
      <c r="D101">
        <v>2172.38</v>
      </c>
      <c r="E101">
        <v>2367.11</v>
      </c>
      <c r="F101" t="s">
        <v>46</v>
      </c>
      <c r="G101" s="30">
        <v>0.16</v>
      </c>
      <c r="H101" t="s">
        <v>26</v>
      </c>
      <c r="I101" t="s">
        <v>34</v>
      </c>
      <c r="J101" t="s">
        <v>28</v>
      </c>
      <c r="K101">
        <f>B101*E101*(1-G101)</f>
        <v>91465.130400000009</v>
      </c>
      <c r="L101">
        <f>D101*B101</f>
        <v>99929.48000000001</v>
      </c>
      <c r="M101">
        <f>K101-L101</f>
        <v>-8464.3496000000014</v>
      </c>
    </row>
    <row r="102" spans="1:13" hidden="1" x14ac:dyDescent="0.35">
      <c r="A102" t="s">
        <v>225</v>
      </c>
      <c r="B102">
        <v>36</v>
      </c>
      <c r="C102" s="4" t="s">
        <v>45</v>
      </c>
      <c r="D102">
        <v>4252.17</v>
      </c>
      <c r="E102">
        <v>4720.2700000000004</v>
      </c>
      <c r="F102" t="s">
        <v>46</v>
      </c>
      <c r="G102" s="30">
        <v>0.09</v>
      </c>
      <c r="H102" t="s">
        <v>26</v>
      </c>
      <c r="I102" t="s">
        <v>27</v>
      </c>
      <c r="J102" t="s">
        <v>35</v>
      </c>
      <c r="K102">
        <f>B102*E102*(1-G102)</f>
        <v>154636.04520000002</v>
      </c>
      <c r="L102">
        <f>D102*B102</f>
        <v>153078.12</v>
      </c>
      <c r="M102">
        <f>K102-L102</f>
        <v>1557.925200000027</v>
      </c>
    </row>
    <row r="103" spans="1:13" hidden="1" x14ac:dyDescent="0.35">
      <c r="A103" t="s">
        <v>161</v>
      </c>
      <c r="B103">
        <v>23</v>
      </c>
      <c r="C103" s="4" t="s">
        <v>45</v>
      </c>
      <c r="D103">
        <v>4110.6000000000004</v>
      </c>
      <c r="E103">
        <v>4488.37</v>
      </c>
      <c r="F103" t="s">
        <v>46</v>
      </c>
      <c r="G103" s="30">
        <v>0.12</v>
      </c>
      <c r="H103" t="s">
        <v>47</v>
      </c>
      <c r="I103" t="s">
        <v>27</v>
      </c>
      <c r="J103" t="s">
        <v>28</v>
      </c>
      <c r="K103">
        <f>B103*E103*(1-G103)</f>
        <v>90844.608800000002</v>
      </c>
      <c r="L103">
        <f>D103*B103</f>
        <v>94543.8</v>
      </c>
      <c r="M103">
        <f>K103-L103</f>
        <v>-3699.1912000000011</v>
      </c>
    </row>
    <row r="104" spans="1:13" hidden="1" x14ac:dyDescent="0.35">
      <c r="A104" t="s">
        <v>226</v>
      </c>
      <c r="B104">
        <v>46</v>
      </c>
      <c r="C104" s="4" t="s">
        <v>51</v>
      </c>
      <c r="D104">
        <v>2016.49</v>
      </c>
      <c r="E104">
        <v>2338.66</v>
      </c>
      <c r="F104" t="s">
        <v>25</v>
      </c>
      <c r="G104" s="30">
        <v>0.19</v>
      </c>
      <c r="H104" t="s">
        <v>40</v>
      </c>
      <c r="I104" t="s">
        <v>27</v>
      </c>
      <c r="J104" t="s">
        <v>28</v>
      </c>
      <c r="K104">
        <f>B104*E104*(1-G104)</f>
        <v>87138.47159999999</v>
      </c>
      <c r="L104">
        <f>D104*B104</f>
        <v>92758.54</v>
      </c>
      <c r="M104">
        <f>K104-L104</f>
        <v>-5620.0684000000037</v>
      </c>
    </row>
    <row r="105" spans="1:13" hidden="1" x14ac:dyDescent="0.35">
      <c r="A105" t="s">
        <v>229</v>
      </c>
      <c r="B105">
        <v>35</v>
      </c>
      <c r="C105" s="4" t="s">
        <v>45</v>
      </c>
      <c r="D105">
        <v>4071.01</v>
      </c>
      <c r="E105">
        <v>4304.7</v>
      </c>
      <c r="F105" t="s">
        <v>46</v>
      </c>
      <c r="G105" s="30">
        <v>0.14000000000000001</v>
      </c>
      <c r="H105" t="s">
        <v>47</v>
      </c>
      <c r="I105" t="s">
        <v>27</v>
      </c>
      <c r="J105" t="s">
        <v>35</v>
      </c>
      <c r="K105">
        <f>B105*E105*(1-G105)</f>
        <v>129571.47</v>
      </c>
      <c r="L105">
        <f>D105*B105</f>
        <v>142485.35</v>
      </c>
      <c r="M105">
        <f>K105-L105</f>
        <v>-12913.880000000005</v>
      </c>
    </row>
    <row r="106" spans="1:13" hidden="1" x14ac:dyDescent="0.35">
      <c r="A106" t="s">
        <v>213</v>
      </c>
      <c r="B106">
        <v>49</v>
      </c>
      <c r="C106" s="4" t="s">
        <v>24</v>
      </c>
      <c r="D106">
        <v>1833.95</v>
      </c>
      <c r="E106">
        <v>2147.14</v>
      </c>
      <c r="F106" t="s">
        <v>25</v>
      </c>
      <c r="G106" s="30">
        <v>0.18</v>
      </c>
      <c r="H106" t="s">
        <v>47</v>
      </c>
      <c r="I106" t="s">
        <v>34</v>
      </c>
      <c r="J106" t="s">
        <v>28</v>
      </c>
      <c r="K106">
        <f>B106*E106*(1-G106)</f>
        <v>86272.085200000001</v>
      </c>
      <c r="L106">
        <f>D106*B106</f>
        <v>89863.55</v>
      </c>
      <c r="M106">
        <f>K106-L106</f>
        <v>-3591.4648000000016</v>
      </c>
    </row>
    <row r="107" spans="1:13" x14ac:dyDescent="0.35">
      <c r="A107" t="s">
        <v>165</v>
      </c>
      <c r="B107">
        <v>22</v>
      </c>
      <c r="C107" s="4" t="s">
        <v>39</v>
      </c>
      <c r="D107">
        <v>3373.46</v>
      </c>
      <c r="E107">
        <v>4454.76</v>
      </c>
      <c r="F107" t="s">
        <v>25</v>
      </c>
      <c r="G107" s="30">
        <v>0.22</v>
      </c>
      <c r="H107" t="s">
        <v>40</v>
      </c>
      <c r="I107" t="s">
        <v>34</v>
      </c>
      <c r="J107" t="s">
        <v>28</v>
      </c>
      <c r="K107">
        <f>B107*E107*(1-G107)</f>
        <v>76443.681599999996</v>
      </c>
      <c r="L107">
        <f>D107*B107</f>
        <v>74216.12</v>
      </c>
      <c r="M107">
        <f>K107-L107</f>
        <v>2227.5616000000009</v>
      </c>
    </row>
    <row r="108" spans="1:13" hidden="1" x14ac:dyDescent="0.35">
      <c r="A108" t="s">
        <v>233</v>
      </c>
      <c r="B108">
        <v>28</v>
      </c>
      <c r="C108" s="4" t="s">
        <v>45</v>
      </c>
      <c r="D108">
        <v>2873.53</v>
      </c>
      <c r="E108">
        <v>3108.3</v>
      </c>
      <c r="F108" t="s">
        <v>46</v>
      </c>
      <c r="G108" s="30">
        <v>0.15</v>
      </c>
      <c r="H108" t="s">
        <v>47</v>
      </c>
      <c r="I108" t="s">
        <v>27</v>
      </c>
      <c r="J108" t="s">
        <v>41</v>
      </c>
      <c r="K108">
        <f>B108*E108*(1-G108)</f>
        <v>73977.540000000008</v>
      </c>
      <c r="L108">
        <f>D108*B108</f>
        <v>80458.840000000011</v>
      </c>
      <c r="M108">
        <f>K108-L108</f>
        <v>-6481.3000000000029</v>
      </c>
    </row>
    <row r="109" spans="1:13" x14ac:dyDescent="0.35">
      <c r="A109" t="s">
        <v>179</v>
      </c>
      <c r="B109">
        <v>35</v>
      </c>
      <c r="C109" s="4" t="s">
        <v>45</v>
      </c>
      <c r="D109">
        <v>2158.69</v>
      </c>
      <c r="E109">
        <v>2384.38</v>
      </c>
      <c r="F109" t="s">
        <v>25</v>
      </c>
      <c r="G109" s="30">
        <v>0.09</v>
      </c>
      <c r="H109" t="s">
        <v>40</v>
      </c>
      <c r="I109" t="s">
        <v>27</v>
      </c>
      <c r="J109" t="s">
        <v>28</v>
      </c>
      <c r="K109">
        <f>B109*E109*(1-G109)</f>
        <v>75942.503000000012</v>
      </c>
      <c r="L109">
        <f>D109*B109</f>
        <v>75554.150000000009</v>
      </c>
      <c r="M109">
        <f>K109-L109</f>
        <v>388.35300000000279</v>
      </c>
    </row>
    <row r="110" spans="1:13" hidden="1" x14ac:dyDescent="0.35">
      <c r="A110" t="s">
        <v>236</v>
      </c>
      <c r="B110">
        <v>42</v>
      </c>
      <c r="C110" s="4" t="s">
        <v>45</v>
      </c>
      <c r="D110">
        <v>3587.74</v>
      </c>
      <c r="E110">
        <v>4745.91</v>
      </c>
      <c r="F110" t="s">
        <v>25</v>
      </c>
      <c r="G110" s="30">
        <v>0.1</v>
      </c>
      <c r="H110" t="s">
        <v>26</v>
      </c>
      <c r="I110" t="s">
        <v>34</v>
      </c>
      <c r="J110" t="s">
        <v>41</v>
      </c>
      <c r="K110">
        <f>B110*E110*(1-G110)</f>
        <v>179395.39800000002</v>
      </c>
      <c r="L110">
        <f>D110*B110</f>
        <v>150685.07999999999</v>
      </c>
      <c r="M110">
        <f>K110-L110</f>
        <v>28710.318000000028</v>
      </c>
    </row>
    <row r="111" spans="1:13" hidden="1" x14ac:dyDescent="0.35">
      <c r="A111" t="s">
        <v>237</v>
      </c>
      <c r="B111">
        <v>18</v>
      </c>
      <c r="C111" s="4" t="s">
        <v>39</v>
      </c>
      <c r="D111">
        <v>1239.0899999999999</v>
      </c>
      <c r="E111">
        <v>1273.98</v>
      </c>
      <c r="F111" t="s">
        <v>46</v>
      </c>
      <c r="G111" s="30">
        <v>0.02</v>
      </c>
      <c r="H111" t="s">
        <v>40</v>
      </c>
      <c r="I111" t="s">
        <v>34</v>
      </c>
      <c r="J111" t="s">
        <v>35</v>
      </c>
      <c r="K111">
        <f>B111*E111*(1-G111)</f>
        <v>22473.0072</v>
      </c>
      <c r="L111">
        <f>D111*B111</f>
        <v>22303.62</v>
      </c>
      <c r="M111">
        <f>K111-L111</f>
        <v>169.38720000000103</v>
      </c>
    </row>
    <row r="112" spans="1:13" hidden="1" x14ac:dyDescent="0.35">
      <c r="A112" t="s">
        <v>238</v>
      </c>
      <c r="B112">
        <v>48</v>
      </c>
      <c r="C112" s="4" t="s">
        <v>39</v>
      </c>
      <c r="D112">
        <v>2246.67</v>
      </c>
      <c r="E112">
        <v>2486.14</v>
      </c>
      <c r="F112" t="s">
        <v>46</v>
      </c>
      <c r="G112" s="30">
        <v>0.03</v>
      </c>
      <c r="H112" t="s">
        <v>26</v>
      </c>
      <c r="I112" t="s">
        <v>34</v>
      </c>
      <c r="J112" t="s">
        <v>35</v>
      </c>
      <c r="K112">
        <f>B112*E112*(1-G112)</f>
        <v>115754.6784</v>
      </c>
      <c r="L112">
        <f>D112*B112</f>
        <v>107840.16</v>
      </c>
      <c r="M112">
        <f>K112-L112</f>
        <v>7914.5184000000008</v>
      </c>
    </row>
    <row r="113" spans="1:13" hidden="1" x14ac:dyDescent="0.35">
      <c r="A113" t="s">
        <v>240</v>
      </c>
      <c r="B113">
        <v>40</v>
      </c>
      <c r="C113" s="4" t="s">
        <v>39</v>
      </c>
      <c r="D113">
        <v>1447.72</v>
      </c>
      <c r="E113">
        <v>1875.75</v>
      </c>
      <c r="F113" t="s">
        <v>46</v>
      </c>
      <c r="G113" s="30">
        <v>0.13</v>
      </c>
      <c r="H113" t="s">
        <v>26</v>
      </c>
      <c r="I113" t="s">
        <v>34</v>
      </c>
      <c r="J113" t="s">
        <v>41</v>
      </c>
      <c r="K113">
        <f>B113*E113*(1-G113)</f>
        <v>65276.1</v>
      </c>
      <c r="L113">
        <f>D113*B113</f>
        <v>57908.800000000003</v>
      </c>
      <c r="M113">
        <f>K113-L113</f>
        <v>7367.2999999999956</v>
      </c>
    </row>
    <row r="114" spans="1:13" hidden="1" x14ac:dyDescent="0.35">
      <c r="A114" t="s">
        <v>242</v>
      </c>
      <c r="B114">
        <v>33</v>
      </c>
      <c r="C114" s="4" t="s">
        <v>45</v>
      </c>
      <c r="D114">
        <v>450.72</v>
      </c>
      <c r="E114">
        <v>918.17</v>
      </c>
      <c r="F114" t="s">
        <v>25</v>
      </c>
      <c r="G114" s="30">
        <v>0.11</v>
      </c>
      <c r="H114" t="s">
        <v>26</v>
      </c>
      <c r="I114" t="s">
        <v>27</v>
      </c>
      <c r="J114" t="s">
        <v>35</v>
      </c>
      <c r="K114">
        <f>B114*E114*(1-G114)</f>
        <v>26966.652899999997</v>
      </c>
      <c r="L114">
        <f>D114*B114</f>
        <v>14873.76</v>
      </c>
      <c r="M114">
        <f>K114-L114</f>
        <v>12092.892899999997</v>
      </c>
    </row>
    <row r="115" spans="1:13" x14ac:dyDescent="0.35">
      <c r="A115" t="s">
        <v>311</v>
      </c>
      <c r="B115">
        <v>31</v>
      </c>
      <c r="C115" s="4" t="s">
        <v>45</v>
      </c>
      <c r="D115">
        <v>2347.81</v>
      </c>
      <c r="E115">
        <v>2668.02</v>
      </c>
      <c r="F115" t="s">
        <v>25</v>
      </c>
      <c r="G115" s="30">
        <v>0.09</v>
      </c>
      <c r="H115" t="s">
        <v>40</v>
      </c>
      <c r="I115" t="s">
        <v>34</v>
      </c>
      <c r="J115" t="s">
        <v>28</v>
      </c>
      <c r="K115">
        <f>B115*E115*(1-G115)</f>
        <v>75264.844199999992</v>
      </c>
      <c r="L115">
        <f>D115*B115</f>
        <v>72782.11</v>
      </c>
      <c r="M115">
        <f>K115-L115</f>
        <v>2482.7341999999917</v>
      </c>
    </row>
    <row r="116" spans="1:13" hidden="1" x14ac:dyDescent="0.35">
      <c r="A116" t="s">
        <v>157</v>
      </c>
      <c r="B116">
        <v>21</v>
      </c>
      <c r="C116" s="4" t="s">
        <v>24</v>
      </c>
      <c r="D116">
        <v>3497.98</v>
      </c>
      <c r="E116">
        <v>3765.31</v>
      </c>
      <c r="F116" t="s">
        <v>46</v>
      </c>
      <c r="G116" s="30">
        <v>0.08</v>
      </c>
      <c r="H116" t="s">
        <v>26</v>
      </c>
      <c r="I116" t="s">
        <v>34</v>
      </c>
      <c r="J116" t="s">
        <v>28</v>
      </c>
      <c r="K116">
        <f>B116*E116*(1-G116)</f>
        <v>72745.789199999999</v>
      </c>
      <c r="L116">
        <f>D116*B116</f>
        <v>73457.58</v>
      </c>
      <c r="M116">
        <f>K116-L116</f>
        <v>-711.79080000000249</v>
      </c>
    </row>
    <row r="117" spans="1:13" hidden="1" x14ac:dyDescent="0.35">
      <c r="A117" t="s">
        <v>230</v>
      </c>
      <c r="B117">
        <v>46</v>
      </c>
      <c r="C117" s="4" t="s">
        <v>45</v>
      </c>
      <c r="D117">
        <v>1747.05</v>
      </c>
      <c r="E117">
        <v>1830.27</v>
      </c>
      <c r="F117" t="s">
        <v>46</v>
      </c>
      <c r="G117" s="30">
        <v>0.15</v>
      </c>
      <c r="H117" t="s">
        <v>40</v>
      </c>
      <c r="I117" t="s">
        <v>34</v>
      </c>
      <c r="J117" t="s">
        <v>28</v>
      </c>
      <c r="K117">
        <f>B117*E117*(1-G117)</f>
        <v>71563.557000000001</v>
      </c>
      <c r="L117">
        <f>D117*B117</f>
        <v>80364.3</v>
      </c>
      <c r="M117">
        <f>K117-L117</f>
        <v>-8800.7430000000022</v>
      </c>
    </row>
    <row r="118" spans="1:13" hidden="1" x14ac:dyDescent="0.35">
      <c r="A118" t="s">
        <v>249</v>
      </c>
      <c r="B118">
        <v>16</v>
      </c>
      <c r="C118" s="4" t="s">
        <v>24</v>
      </c>
      <c r="D118">
        <v>3016.9</v>
      </c>
      <c r="E118">
        <v>4140.7299999999996</v>
      </c>
      <c r="F118" t="s">
        <v>46</v>
      </c>
      <c r="G118" s="30">
        <v>0.26</v>
      </c>
      <c r="H118" t="s">
        <v>40</v>
      </c>
      <c r="I118" t="s">
        <v>34</v>
      </c>
      <c r="J118" t="s">
        <v>35</v>
      </c>
      <c r="K118">
        <f>B118*E118*(1-G118)</f>
        <v>49026.243199999997</v>
      </c>
      <c r="L118">
        <f>D118*B118</f>
        <v>48270.400000000001</v>
      </c>
      <c r="M118">
        <f>K118-L118</f>
        <v>755.8431999999957</v>
      </c>
    </row>
    <row r="119" spans="1:13" hidden="1" x14ac:dyDescent="0.35">
      <c r="A119" t="s">
        <v>317</v>
      </c>
      <c r="B119">
        <v>23</v>
      </c>
      <c r="C119" s="4" t="s">
        <v>51</v>
      </c>
      <c r="D119">
        <v>3325.43</v>
      </c>
      <c r="E119">
        <v>3401.1</v>
      </c>
      <c r="F119" t="s">
        <v>46</v>
      </c>
      <c r="G119" s="30">
        <v>0.1</v>
      </c>
      <c r="H119" t="s">
        <v>26</v>
      </c>
      <c r="I119" t="s">
        <v>34</v>
      </c>
      <c r="J119" t="s">
        <v>28</v>
      </c>
      <c r="K119">
        <f>B119*E119*(1-G119)</f>
        <v>70402.77</v>
      </c>
      <c r="L119">
        <f>D119*B119</f>
        <v>76484.89</v>
      </c>
      <c r="M119">
        <f>K119-L119</f>
        <v>-6082.1199999999953</v>
      </c>
    </row>
    <row r="120" spans="1:13" hidden="1" x14ac:dyDescent="0.35">
      <c r="A120" t="s">
        <v>253</v>
      </c>
      <c r="B120">
        <v>38</v>
      </c>
      <c r="C120" s="4" t="s">
        <v>24</v>
      </c>
      <c r="D120">
        <v>4456.67</v>
      </c>
      <c r="E120">
        <v>4642.46</v>
      </c>
      <c r="F120" t="s">
        <v>46</v>
      </c>
      <c r="G120" s="30">
        <v>0.06</v>
      </c>
      <c r="H120" t="s">
        <v>40</v>
      </c>
      <c r="I120" t="s">
        <v>27</v>
      </c>
      <c r="J120" t="s">
        <v>35</v>
      </c>
      <c r="K120">
        <f>B120*E120*(1-G120)</f>
        <v>165828.67120000001</v>
      </c>
      <c r="L120">
        <f>D120*B120</f>
        <v>169353.46</v>
      </c>
      <c r="M120">
        <f>K120-L120</f>
        <v>-3524.7887999999803</v>
      </c>
    </row>
    <row r="121" spans="1:13" hidden="1" x14ac:dyDescent="0.35">
      <c r="A121" t="s">
        <v>271</v>
      </c>
      <c r="B121">
        <v>34</v>
      </c>
      <c r="C121" s="4" t="s">
        <v>24</v>
      </c>
      <c r="D121">
        <v>2462.5500000000002</v>
      </c>
      <c r="E121">
        <v>2521.77</v>
      </c>
      <c r="F121" t="s">
        <v>46</v>
      </c>
      <c r="G121" s="30">
        <v>0.21</v>
      </c>
      <c r="H121" t="s">
        <v>40</v>
      </c>
      <c r="I121" t="s">
        <v>27</v>
      </c>
      <c r="J121" t="s">
        <v>28</v>
      </c>
      <c r="K121">
        <f>B121*E121*(1-G121)</f>
        <v>67734.742199999993</v>
      </c>
      <c r="L121">
        <f>D121*B121</f>
        <v>83726.700000000012</v>
      </c>
      <c r="M121">
        <f>K121-L121</f>
        <v>-15991.957800000018</v>
      </c>
    </row>
    <row r="122" spans="1:13" hidden="1" x14ac:dyDescent="0.35">
      <c r="A122" t="s">
        <v>256</v>
      </c>
      <c r="B122">
        <v>27</v>
      </c>
      <c r="C122" s="4" t="s">
        <v>51</v>
      </c>
      <c r="D122">
        <v>68.989999999999995</v>
      </c>
      <c r="E122">
        <v>429.29</v>
      </c>
      <c r="F122" t="s">
        <v>25</v>
      </c>
      <c r="G122" s="30">
        <v>0.18</v>
      </c>
      <c r="H122" t="s">
        <v>47</v>
      </c>
      <c r="I122" t="s">
        <v>34</v>
      </c>
      <c r="J122" t="s">
        <v>41</v>
      </c>
      <c r="K122">
        <f>B122*E122*(1-G122)</f>
        <v>9504.4806000000008</v>
      </c>
      <c r="L122">
        <f>D122*B122</f>
        <v>1862.7299999999998</v>
      </c>
      <c r="M122">
        <f>K122-L122</f>
        <v>7641.7506000000012</v>
      </c>
    </row>
    <row r="123" spans="1:13" hidden="1" x14ac:dyDescent="0.35">
      <c r="A123" t="s">
        <v>257</v>
      </c>
      <c r="B123">
        <v>9</v>
      </c>
      <c r="C123" s="4" t="s">
        <v>45</v>
      </c>
      <c r="D123">
        <v>2534.94</v>
      </c>
      <c r="E123">
        <v>2755.56</v>
      </c>
      <c r="F123" t="s">
        <v>25</v>
      </c>
      <c r="G123" s="30">
        <v>0.13</v>
      </c>
      <c r="H123" t="s">
        <v>47</v>
      </c>
      <c r="I123" t="s">
        <v>27</v>
      </c>
      <c r="J123" t="s">
        <v>35</v>
      </c>
      <c r="K123">
        <f>B123*E123*(1-G123)</f>
        <v>21576.034800000001</v>
      </c>
      <c r="L123">
        <f>D123*B123</f>
        <v>22814.46</v>
      </c>
      <c r="M123">
        <f>K123-L123</f>
        <v>-1238.4251999999979</v>
      </c>
    </row>
    <row r="124" spans="1:13" hidden="1" x14ac:dyDescent="0.35">
      <c r="A124" t="s">
        <v>258</v>
      </c>
      <c r="B124">
        <v>47</v>
      </c>
      <c r="C124" s="4" t="s">
        <v>51</v>
      </c>
      <c r="D124">
        <v>2936.48</v>
      </c>
      <c r="E124">
        <v>3096.64</v>
      </c>
      <c r="F124" t="s">
        <v>46</v>
      </c>
      <c r="G124" s="30">
        <v>0.06</v>
      </c>
      <c r="H124" t="s">
        <v>40</v>
      </c>
      <c r="I124" t="s">
        <v>27</v>
      </c>
      <c r="J124" t="s">
        <v>35</v>
      </c>
      <c r="K124">
        <f>B124*E124*(1-G124)</f>
        <v>136809.55519999997</v>
      </c>
      <c r="L124">
        <f>D124*B124</f>
        <v>138014.56</v>
      </c>
      <c r="M124">
        <f>K124-L124</f>
        <v>-1205.0048000000243</v>
      </c>
    </row>
    <row r="125" spans="1:13" hidden="1" x14ac:dyDescent="0.35">
      <c r="A125" t="s">
        <v>310</v>
      </c>
      <c r="B125">
        <v>23</v>
      </c>
      <c r="C125" s="4" t="s">
        <v>39</v>
      </c>
      <c r="D125">
        <v>2937.94</v>
      </c>
      <c r="E125">
        <v>3007.53</v>
      </c>
      <c r="F125" t="s">
        <v>25</v>
      </c>
      <c r="G125" s="30">
        <v>0.03</v>
      </c>
      <c r="H125" t="s">
        <v>26</v>
      </c>
      <c r="I125" t="s">
        <v>27</v>
      </c>
      <c r="J125" t="s">
        <v>28</v>
      </c>
      <c r="K125">
        <f>B125*E125*(1-G125)</f>
        <v>67097.994300000006</v>
      </c>
      <c r="L125">
        <f>D125*B125</f>
        <v>67572.62</v>
      </c>
      <c r="M125">
        <f>K125-L125</f>
        <v>-474.62569999998959</v>
      </c>
    </row>
    <row r="126" spans="1:13" hidden="1" x14ac:dyDescent="0.35">
      <c r="A126" t="s">
        <v>261</v>
      </c>
      <c r="B126">
        <v>12</v>
      </c>
      <c r="C126" s="4" t="s">
        <v>51</v>
      </c>
      <c r="D126">
        <v>319.83</v>
      </c>
      <c r="E126">
        <v>802.43</v>
      </c>
      <c r="F126" t="s">
        <v>46</v>
      </c>
      <c r="G126" s="30">
        <v>0.04</v>
      </c>
      <c r="H126" t="s">
        <v>47</v>
      </c>
      <c r="I126" t="s">
        <v>34</v>
      </c>
      <c r="J126" t="s">
        <v>35</v>
      </c>
      <c r="K126">
        <f>B126*E126*(1-G126)</f>
        <v>9243.9935999999998</v>
      </c>
      <c r="L126">
        <f>D126*B126</f>
        <v>3837.96</v>
      </c>
      <c r="M126">
        <f>K126-L126</f>
        <v>5406.0335999999998</v>
      </c>
    </row>
    <row r="127" spans="1:13" hidden="1" x14ac:dyDescent="0.35">
      <c r="A127" t="s">
        <v>263</v>
      </c>
      <c r="B127">
        <v>31</v>
      </c>
      <c r="C127" s="4" t="s">
        <v>39</v>
      </c>
      <c r="D127">
        <v>1604.52</v>
      </c>
      <c r="E127">
        <v>1756.34</v>
      </c>
      <c r="F127" t="s">
        <v>25</v>
      </c>
      <c r="G127" s="30">
        <v>0.17</v>
      </c>
      <c r="H127" t="s">
        <v>26</v>
      </c>
      <c r="I127" t="s">
        <v>27</v>
      </c>
      <c r="J127" t="s">
        <v>35</v>
      </c>
      <c r="K127">
        <f>B127*E127*(1-G127)</f>
        <v>45190.628199999999</v>
      </c>
      <c r="L127">
        <f>D127*B127</f>
        <v>49740.12</v>
      </c>
      <c r="M127">
        <f>K127-L127</f>
        <v>-4549.4918000000034</v>
      </c>
    </row>
    <row r="128" spans="1:13" hidden="1" x14ac:dyDescent="0.35">
      <c r="A128" t="s">
        <v>265</v>
      </c>
      <c r="B128">
        <v>24</v>
      </c>
      <c r="C128" s="4" t="s">
        <v>45</v>
      </c>
      <c r="D128">
        <v>2521.0300000000002</v>
      </c>
      <c r="E128">
        <v>2766.05</v>
      </c>
      <c r="F128" t="s">
        <v>25</v>
      </c>
      <c r="G128" s="30">
        <v>0.16</v>
      </c>
      <c r="H128" t="s">
        <v>40</v>
      </c>
      <c r="I128" t="s">
        <v>27</v>
      </c>
      <c r="J128" t="s">
        <v>41</v>
      </c>
      <c r="K128">
        <f>B128*E128*(1-G128)</f>
        <v>55763.568000000007</v>
      </c>
      <c r="L128">
        <f>D128*B128</f>
        <v>60504.72</v>
      </c>
      <c r="M128">
        <f>K128-L128</f>
        <v>-4741.1519999999946</v>
      </c>
    </row>
    <row r="129" spans="1:13" hidden="1" x14ac:dyDescent="0.35">
      <c r="A129" t="s">
        <v>267</v>
      </c>
      <c r="B129">
        <v>14</v>
      </c>
      <c r="C129" s="4" t="s">
        <v>24</v>
      </c>
      <c r="D129">
        <v>1122.07</v>
      </c>
      <c r="E129">
        <v>1608.76</v>
      </c>
      <c r="F129" t="s">
        <v>46</v>
      </c>
      <c r="G129" s="30">
        <v>0.22</v>
      </c>
      <c r="H129" t="s">
        <v>26</v>
      </c>
      <c r="I129" t="s">
        <v>27</v>
      </c>
      <c r="J129" t="s">
        <v>41</v>
      </c>
      <c r="K129">
        <f>B129*E129*(1-G129)</f>
        <v>17567.659200000002</v>
      </c>
      <c r="L129">
        <f>D129*B129</f>
        <v>15708.98</v>
      </c>
      <c r="M129">
        <f>K129-L129</f>
        <v>1858.6792000000023</v>
      </c>
    </row>
    <row r="130" spans="1:13" hidden="1" x14ac:dyDescent="0.35">
      <c r="A130" t="s">
        <v>442</v>
      </c>
      <c r="B130">
        <v>35</v>
      </c>
      <c r="C130" s="4" t="s">
        <v>39</v>
      </c>
      <c r="D130">
        <v>1958.49</v>
      </c>
      <c r="E130">
        <v>2254.84</v>
      </c>
      <c r="F130" t="s">
        <v>46</v>
      </c>
      <c r="G130" s="30">
        <v>0.16</v>
      </c>
      <c r="H130" t="s">
        <v>47</v>
      </c>
      <c r="I130" t="s">
        <v>27</v>
      </c>
      <c r="J130" t="s">
        <v>28</v>
      </c>
      <c r="K130">
        <f>B130*E130*(1-G130)</f>
        <v>66292.296000000002</v>
      </c>
      <c r="L130">
        <f>D130*B130</f>
        <v>68547.149999999994</v>
      </c>
      <c r="M130">
        <f>K130-L130</f>
        <v>-2254.8539999999921</v>
      </c>
    </row>
    <row r="131" spans="1:13" hidden="1" x14ac:dyDescent="0.35">
      <c r="A131" t="s">
        <v>269</v>
      </c>
      <c r="B131">
        <v>25</v>
      </c>
      <c r="C131" s="4" t="s">
        <v>45</v>
      </c>
      <c r="D131">
        <v>481.19</v>
      </c>
      <c r="E131">
        <v>693.4</v>
      </c>
      <c r="F131" t="s">
        <v>46</v>
      </c>
      <c r="G131" s="30">
        <v>0.27</v>
      </c>
      <c r="H131" t="s">
        <v>47</v>
      </c>
      <c r="I131" t="s">
        <v>34</v>
      </c>
      <c r="J131" t="s">
        <v>41</v>
      </c>
      <c r="K131">
        <f>B131*E131*(1-G131)</f>
        <v>12654.55</v>
      </c>
      <c r="L131">
        <f>D131*B131</f>
        <v>12029.75</v>
      </c>
      <c r="M131">
        <f>K131-L131</f>
        <v>624.79999999999927</v>
      </c>
    </row>
    <row r="132" spans="1:13" x14ac:dyDescent="0.35">
      <c r="A132" t="s">
        <v>293</v>
      </c>
      <c r="B132">
        <v>16</v>
      </c>
      <c r="C132" s="4" t="s">
        <v>45</v>
      </c>
      <c r="D132">
        <v>3966.86</v>
      </c>
      <c r="E132">
        <v>5321.04</v>
      </c>
      <c r="F132" t="s">
        <v>25</v>
      </c>
      <c r="G132" s="30">
        <v>0.23</v>
      </c>
      <c r="H132" t="s">
        <v>47</v>
      </c>
      <c r="I132" t="s">
        <v>27</v>
      </c>
      <c r="J132" t="s">
        <v>28</v>
      </c>
      <c r="K132">
        <f>B132*E132*(1-G132)</f>
        <v>65555.212799999994</v>
      </c>
      <c r="L132">
        <f>D132*B132</f>
        <v>63469.760000000002</v>
      </c>
      <c r="M132">
        <f>K132-L132</f>
        <v>2085.4527999999918</v>
      </c>
    </row>
    <row r="133" spans="1:13" hidden="1" x14ac:dyDescent="0.35">
      <c r="A133" t="s">
        <v>465</v>
      </c>
      <c r="B133">
        <v>47</v>
      </c>
      <c r="C133" s="4" t="s">
        <v>45</v>
      </c>
      <c r="D133">
        <v>1656.82</v>
      </c>
      <c r="E133">
        <v>1750.38</v>
      </c>
      <c r="F133" t="s">
        <v>46</v>
      </c>
      <c r="G133" s="30">
        <v>0.21</v>
      </c>
      <c r="H133" t="s">
        <v>47</v>
      </c>
      <c r="I133" t="s">
        <v>27</v>
      </c>
      <c r="J133" t="s">
        <v>28</v>
      </c>
      <c r="K133">
        <f>B133*E133*(1-G133)</f>
        <v>64991.609400000001</v>
      </c>
      <c r="L133">
        <f>D133*B133</f>
        <v>77870.539999999994</v>
      </c>
      <c r="M133">
        <f>K133-L133</f>
        <v>-12878.930599999992</v>
      </c>
    </row>
    <row r="134" spans="1:13" hidden="1" x14ac:dyDescent="0.35">
      <c r="A134" t="s">
        <v>88</v>
      </c>
      <c r="B134">
        <v>31</v>
      </c>
      <c r="C134" s="4" t="s">
        <v>24</v>
      </c>
      <c r="D134">
        <v>2254.9899999999998</v>
      </c>
      <c r="E134">
        <v>2741.79</v>
      </c>
      <c r="F134" t="s">
        <v>25</v>
      </c>
      <c r="G134" s="30">
        <v>0.24</v>
      </c>
      <c r="H134" t="s">
        <v>40</v>
      </c>
      <c r="I134" t="s">
        <v>34</v>
      </c>
      <c r="J134" t="s">
        <v>28</v>
      </c>
      <c r="K134">
        <f>B134*E134*(1-G134)</f>
        <v>64596.572400000005</v>
      </c>
      <c r="L134">
        <f>D134*B134</f>
        <v>69904.689999999988</v>
      </c>
      <c r="M134">
        <f>K134-L134</f>
        <v>-5308.1175999999832</v>
      </c>
    </row>
    <row r="135" spans="1:13" hidden="1" x14ac:dyDescent="0.35">
      <c r="A135" t="s">
        <v>276</v>
      </c>
      <c r="B135">
        <v>42</v>
      </c>
      <c r="C135" s="4" t="s">
        <v>51</v>
      </c>
      <c r="D135">
        <v>3139.99</v>
      </c>
      <c r="E135">
        <v>3349.37</v>
      </c>
      <c r="F135" t="s">
        <v>25</v>
      </c>
      <c r="G135" s="30">
        <v>0.13</v>
      </c>
      <c r="H135" t="s">
        <v>47</v>
      </c>
      <c r="I135" t="s">
        <v>27</v>
      </c>
      <c r="J135" t="s">
        <v>35</v>
      </c>
      <c r="K135">
        <f>B135*E135*(1-G135)</f>
        <v>122385.9798</v>
      </c>
      <c r="L135">
        <f>D135*B135</f>
        <v>131879.57999999999</v>
      </c>
      <c r="M135">
        <f>K135-L135</f>
        <v>-9493.6001999999862</v>
      </c>
    </row>
    <row r="136" spans="1:13" hidden="1" x14ac:dyDescent="0.35">
      <c r="A136" t="s">
        <v>278</v>
      </c>
      <c r="B136">
        <v>9</v>
      </c>
      <c r="C136" s="4" t="s">
        <v>45</v>
      </c>
      <c r="D136">
        <v>4155.46</v>
      </c>
      <c r="E136">
        <v>4273.6000000000004</v>
      </c>
      <c r="F136" t="s">
        <v>25</v>
      </c>
      <c r="G136" s="30">
        <v>0.25</v>
      </c>
      <c r="H136" t="s">
        <v>26</v>
      </c>
      <c r="I136" t="s">
        <v>27</v>
      </c>
      <c r="J136" t="s">
        <v>41</v>
      </c>
      <c r="K136">
        <f>B136*E136*(1-G136)</f>
        <v>28846.800000000003</v>
      </c>
      <c r="L136">
        <f>D136*B136</f>
        <v>37399.14</v>
      </c>
      <c r="M136">
        <f>K136-L136</f>
        <v>-8552.3399999999965</v>
      </c>
    </row>
    <row r="137" spans="1:13" hidden="1" x14ac:dyDescent="0.35">
      <c r="A137" t="s">
        <v>426</v>
      </c>
      <c r="B137">
        <v>37</v>
      </c>
      <c r="C137" s="4" t="s">
        <v>39</v>
      </c>
      <c r="D137">
        <v>1675.51</v>
      </c>
      <c r="E137">
        <v>1906.64</v>
      </c>
      <c r="F137" t="s">
        <v>46</v>
      </c>
      <c r="G137" s="30">
        <v>0.13</v>
      </c>
      <c r="H137" t="s">
        <v>40</v>
      </c>
      <c r="I137" t="s">
        <v>34</v>
      </c>
      <c r="J137" t="s">
        <v>28</v>
      </c>
      <c r="K137">
        <f>B137*E137*(1-G137)</f>
        <v>61374.741600000008</v>
      </c>
      <c r="L137">
        <f>D137*B137</f>
        <v>61993.87</v>
      </c>
      <c r="M137">
        <f>K137-L137</f>
        <v>-619.12839999999414</v>
      </c>
    </row>
    <row r="138" spans="1:13" hidden="1" x14ac:dyDescent="0.35">
      <c r="A138" t="s">
        <v>280</v>
      </c>
      <c r="B138">
        <v>20</v>
      </c>
      <c r="C138" s="4" t="s">
        <v>45</v>
      </c>
      <c r="D138">
        <v>4590.24</v>
      </c>
      <c r="E138">
        <v>5088.28</v>
      </c>
      <c r="F138" t="s">
        <v>46</v>
      </c>
      <c r="G138" s="30">
        <v>0.16</v>
      </c>
      <c r="H138" t="s">
        <v>40</v>
      </c>
      <c r="I138" t="s">
        <v>34</v>
      </c>
      <c r="J138" t="s">
        <v>41</v>
      </c>
      <c r="K138">
        <f>B138*E138*(1-G138)</f>
        <v>85483.103999999992</v>
      </c>
      <c r="L138">
        <f>D138*B138</f>
        <v>91804.799999999988</v>
      </c>
      <c r="M138">
        <f>K138-L138</f>
        <v>-6321.6959999999963</v>
      </c>
    </row>
    <row r="139" spans="1:13" hidden="1" x14ac:dyDescent="0.35">
      <c r="A139" t="s">
        <v>308</v>
      </c>
      <c r="B139">
        <v>34</v>
      </c>
      <c r="C139" s="4" t="s">
        <v>24</v>
      </c>
      <c r="D139">
        <v>1967.96</v>
      </c>
      <c r="E139">
        <v>1993.4</v>
      </c>
      <c r="F139" t="s">
        <v>25</v>
      </c>
      <c r="G139" s="30">
        <v>0.15</v>
      </c>
      <c r="H139" t="s">
        <v>47</v>
      </c>
      <c r="I139" t="s">
        <v>27</v>
      </c>
      <c r="J139" t="s">
        <v>28</v>
      </c>
      <c r="K139">
        <f>B139*E139*(1-G139)</f>
        <v>57609.26</v>
      </c>
      <c r="L139">
        <f>D139*B139</f>
        <v>66910.64</v>
      </c>
      <c r="M139">
        <f>K139-L139</f>
        <v>-9301.3799999999974</v>
      </c>
    </row>
    <row r="140" spans="1:13" hidden="1" x14ac:dyDescent="0.35">
      <c r="A140" t="s">
        <v>283</v>
      </c>
      <c r="B140">
        <v>10</v>
      </c>
      <c r="C140" s="4" t="s">
        <v>24</v>
      </c>
      <c r="D140">
        <v>1531.2</v>
      </c>
      <c r="E140">
        <v>1955.56</v>
      </c>
      <c r="F140" t="s">
        <v>46</v>
      </c>
      <c r="G140" s="30">
        <v>0</v>
      </c>
      <c r="H140" t="s">
        <v>47</v>
      </c>
      <c r="I140" t="s">
        <v>34</v>
      </c>
      <c r="J140" t="s">
        <v>41</v>
      </c>
      <c r="K140">
        <f>B140*E140*(1-G140)</f>
        <v>19555.599999999999</v>
      </c>
      <c r="L140">
        <f>D140*B140</f>
        <v>15312</v>
      </c>
      <c r="M140">
        <f>K140-L140</f>
        <v>4243.5999999999985</v>
      </c>
    </row>
    <row r="141" spans="1:13" hidden="1" x14ac:dyDescent="0.35">
      <c r="A141" t="s">
        <v>284</v>
      </c>
      <c r="B141">
        <v>19</v>
      </c>
      <c r="C141" s="4" t="s">
        <v>39</v>
      </c>
      <c r="D141">
        <v>2182.75</v>
      </c>
      <c r="E141">
        <v>2504.0300000000002</v>
      </c>
      <c r="F141" t="s">
        <v>46</v>
      </c>
      <c r="G141" s="30">
        <v>0.01</v>
      </c>
      <c r="H141" t="s">
        <v>40</v>
      </c>
      <c r="I141" t="s">
        <v>34</v>
      </c>
      <c r="J141" t="s">
        <v>41</v>
      </c>
      <c r="K141">
        <f>B141*E141*(1-G141)</f>
        <v>47100.804300000003</v>
      </c>
      <c r="L141">
        <f>D141*B141</f>
        <v>41472.25</v>
      </c>
      <c r="M141">
        <f>K141-L141</f>
        <v>5628.5543000000034</v>
      </c>
    </row>
    <row r="142" spans="1:13" hidden="1" x14ac:dyDescent="0.35">
      <c r="A142" t="s">
        <v>444</v>
      </c>
      <c r="B142">
        <v>16</v>
      </c>
      <c r="C142" s="4" t="s">
        <v>24</v>
      </c>
      <c r="D142">
        <v>4287.21</v>
      </c>
      <c r="E142">
        <v>4464.28</v>
      </c>
      <c r="F142" t="s">
        <v>25</v>
      </c>
      <c r="G142" s="30">
        <v>0.2</v>
      </c>
      <c r="H142" t="s">
        <v>47</v>
      </c>
      <c r="I142" t="s">
        <v>34</v>
      </c>
      <c r="J142" t="s">
        <v>28</v>
      </c>
      <c r="K142">
        <f>B142*E142*(1-G142)</f>
        <v>57142.784</v>
      </c>
      <c r="L142">
        <f>D142*B142</f>
        <v>68595.360000000001</v>
      </c>
      <c r="M142">
        <f>K142-L142</f>
        <v>-11452.576000000001</v>
      </c>
    </row>
    <row r="143" spans="1:13" hidden="1" x14ac:dyDescent="0.35">
      <c r="A143" t="s">
        <v>286</v>
      </c>
      <c r="B143">
        <v>24</v>
      </c>
      <c r="C143" s="4" t="s">
        <v>45</v>
      </c>
      <c r="D143">
        <v>3639.3</v>
      </c>
      <c r="E143">
        <v>3750.63</v>
      </c>
      <c r="F143" t="s">
        <v>46</v>
      </c>
      <c r="G143" s="30">
        <v>0.23</v>
      </c>
      <c r="H143" t="s">
        <v>40</v>
      </c>
      <c r="I143" t="s">
        <v>27</v>
      </c>
      <c r="J143" t="s">
        <v>35</v>
      </c>
      <c r="K143">
        <f>B143*E143*(1-G143)</f>
        <v>69311.642399999997</v>
      </c>
      <c r="L143">
        <f>D143*B143</f>
        <v>87343.200000000012</v>
      </c>
      <c r="M143">
        <f>K143-L143</f>
        <v>-18031.557600000015</v>
      </c>
    </row>
    <row r="144" spans="1:13" hidden="1" x14ac:dyDescent="0.35">
      <c r="A144" t="s">
        <v>288</v>
      </c>
      <c r="B144">
        <v>5</v>
      </c>
      <c r="C144" s="4" t="s">
        <v>45</v>
      </c>
      <c r="D144">
        <v>3991.69</v>
      </c>
      <c r="E144">
        <v>4454.97</v>
      </c>
      <c r="F144" t="s">
        <v>46</v>
      </c>
      <c r="G144" s="30">
        <v>0.14000000000000001</v>
      </c>
      <c r="H144" t="s">
        <v>47</v>
      </c>
      <c r="I144" t="s">
        <v>34</v>
      </c>
      <c r="J144" t="s">
        <v>41</v>
      </c>
      <c r="K144">
        <f>B144*E144*(1-G144)</f>
        <v>19156.371000000003</v>
      </c>
      <c r="L144">
        <f>D144*B144</f>
        <v>19958.45</v>
      </c>
      <c r="M144">
        <f>K144-L144</f>
        <v>-802.0789999999979</v>
      </c>
    </row>
    <row r="145" spans="1:13" hidden="1" x14ac:dyDescent="0.35">
      <c r="A145" t="s">
        <v>290</v>
      </c>
      <c r="B145">
        <v>3</v>
      </c>
      <c r="C145" s="4" t="s">
        <v>24</v>
      </c>
      <c r="D145">
        <v>4173.04</v>
      </c>
      <c r="E145">
        <v>4362.4399999999996</v>
      </c>
      <c r="F145" t="s">
        <v>46</v>
      </c>
      <c r="G145" s="30">
        <v>0.23</v>
      </c>
      <c r="H145" t="s">
        <v>40</v>
      </c>
      <c r="I145" t="s">
        <v>34</v>
      </c>
      <c r="J145" t="s">
        <v>35</v>
      </c>
      <c r="K145">
        <f>B145*E145*(1-G145)</f>
        <v>10077.2364</v>
      </c>
      <c r="L145">
        <f>D145*B145</f>
        <v>12519.119999999999</v>
      </c>
      <c r="M145">
        <f>K145-L145</f>
        <v>-2441.8835999999992</v>
      </c>
    </row>
    <row r="146" spans="1:13" hidden="1" x14ac:dyDescent="0.35">
      <c r="A146" t="s">
        <v>291</v>
      </c>
      <c r="B146">
        <v>27</v>
      </c>
      <c r="C146" s="4" t="s">
        <v>39</v>
      </c>
      <c r="D146">
        <v>4929.55</v>
      </c>
      <c r="E146">
        <v>6990.33</v>
      </c>
      <c r="F146" t="s">
        <v>25</v>
      </c>
      <c r="G146" s="30">
        <v>0.28999999999999998</v>
      </c>
      <c r="H146" t="s">
        <v>47</v>
      </c>
      <c r="I146" t="s">
        <v>34</v>
      </c>
      <c r="J146" t="s">
        <v>35</v>
      </c>
      <c r="K146">
        <f>B146*E146*(1-G146)</f>
        <v>134004.62609999999</v>
      </c>
      <c r="L146">
        <f>D146*B146</f>
        <v>133097.85</v>
      </c>
      <c r="M146">
        <f>K146-L146</f>
        <v>906.77609999998822</v>
      </c>
    </row>
    <row r="147" spans="1:13" x14ac:dyDescent="0.35">
      <c r="A147" t="s">
        <v>363</v>
      </c>
      <c r="B147">
        <v>21</v>
      </c>
      <c r="C147" s="4" t="s">
        <v>39</v>
      </c>
      <c r="D147">
        <v>2511.41</v>
      </c>
      <c r="E147">
        <v>2848.4</v>
      </c>
      <c r="F147" t="s">
        <v>25</v>
      </c>
      <c r="G147" s="30">
        <v>0.06</v>
      </c>
      <c r="H147" t="s">
        <v>40</v>
      </c>
      <c r="I147" t="s">
        <v>27</v>
      </c>
      <c r="J147" t="s">
        <v>28</v>
      </c>
      <c r="K147">
        <f>B147*E147*(1-G147)</f>
        <v>56227.415999999997</v>
      </c>
      <c r="L147">
        <f>D147*B147</f>
        <v>52739.61</v>
      </c>
      <c r="M147">
        <f>K147-L147</f>
        <v>3487.8059999999969</v>
      </c>
    </row>
    <row r="148" spans="1:13" hidden="1" x14ac:dyDescent="0.35">
      <c r="A148" t="s">
        <v>204</v>
      </c>
      <c r="B148">
        <v>28</v>
      </c>
      <c r="C148" s="4" t="s">
        <v>45</v>
      </c>
      <c r="D148">
        <v>2094.88</v>
      </c>
      <c r="E148">
        <v>2168.91</v>
      </c>
      <c r="F148" t="s">
        <v>25</v>
      </c>
      <c r="G148" s="30">
        <v>0.08</v>
      </c>
      <c r="H148" t="s">
        <v>26</v>
      </c>
      <c r="I148" t="s">
        <v>34</v>
      </c>
      <c r="J148" t="s">
        <v>28</v>
      </c>
      <c r="K148">
        <f>B148*E148*(1-G148)</f>
        <v>55871.121599999999</v>
      </c>
      <c r="L148">
        <f>D148*B148</f>
        <v>58656.639999999999</v>
      </c>
      <c r="M148">
        <f>K148-L148</f>
        <v>-2785.5184000000008</v>
      </c>
    </row>
    <row r="149" spans="1:13" hidden="1" x14ac:dyDescent="0.35">
      <c r="A149" t="s">
        <v>109</v>
      </c>
      <c r="B149">
        <v>34</v>
      </c>
      <c r="C149" s="4" t="s">
        <v>24</v>
      </c>
      <c r="D149">
        <v>2037.41</v>
      </c>
      <c r="E149">
        <v>2238.65</v>
      </c>
      <c r="F149" t="s">
        <v>46</v>
      </c>
      <c r="G149" s="30">
        <v>0.3</v>
      </c>
      <c r="H149" t="s">
        <v>47</v>
      </c>
      <c r="I149" t="s">
        <v>34</v>
      </c>
      <c r="J149" t="s">
        <v>28</v>
      </c>
      <c r="K149">
        <f>B149*E149*(1-G149)</f>
        <v>53279.87</v>
      </c>
      <c r="L149">
        <f>D149*B149</f>
        <v>69271.94</v>
      </c>
      <c r="M149">
        <f>K149-L149</f>
        <v>-15992.07</v>
      </c>
    </row>
    <row r="150" spans="1:13" hidden="1" x14ac:dyDescent="0.35">
      <c r="A150" t="s">
        <v>299</v>
      </c>
      <c r="B150">
        <v>35</v>
      </c>
      <c r="C150" s="4" t="s">
        <v>51</v>
      </c>
      <c r="D150">
        <v>2745.75</v>
      </c>
      <c r="E150">
        <v>3244.76</v>
      </c>
      <c r="F150" t="s">
        <v>46</v>
      </c>
      <c r="G150" s="30">
        <v>0.05</v>
      </c>
      <c r="H150" t="s">
        <v>40</v>
      </c>
      <c r="I150" t="s">
        <v>27</v>
      </c>
      <c r="J150" t="s">
        <v>41</v>
      </c>
      <c r="K150">
        <f>B150*E150*(1-G150)</f>
        <v>107888.27</v>
      </c>
      <c r="L150">
        <f>D150*B150</f>
        <v>96101.25</v>
      </c>
      <c r="M150">
        <f>K150-L150</f>
        <v>11787.020000000004</v>
      </c>
    </row>
    <row r="151" spans="1:13" hidden="1" x14ac:dyDescent="0.35">
      <c r="A151" t="s">
        <v>243</v>
      </c>
      <c r="B151">
        <v>12</v>
      </c>
      <c r="C151" s="4" t="s">
        <v>45</v>
      </c>
      <c r="D151">
        <v>4389.24</v>
      </c>
      <c r="E151">
        <v>4856.22</v>
      </c>
      <c r="F151" t="s">
        <v>25</v>
      </c>
      <c r="G151" s="30">
        <v>0.15</v>
      </c>
      <c r="H151" t="s">
        <v>26</v>
      </c>
      <c r="I151" t="s">
        <v>34</v>
      </c>
      <c r="J151" t="s">
        <v>28</v>
      </c>
      <c r="K151">
        <f>B151*E151*(1-G151)</f>
        <v>49533.443999999996</v>
      </c>
      <c r="L151">
        <f>D151*B151</f>
        <v>52670.879999999997</v>
      </c>
      <c r="M151">
        <f>K151-L151</f>
        <v>-3137.4360000000015</v>
      </c>
    </row>
    <row r="152" spans="1:13" hidden="1" x14ac:dyDescent="0.35">
      <c r="A152" t="s">
        <v>223</v>
      </c>
      <c r="B152">
        <v>41</v>
      </c>
      <c r="C152" s="4" t="s">
        <v>51</v>
      </c>
      <c r="D152">
        <v>1196.42</v>
      </c>
      <c r="E152">
        <v>1444.97</v>
      </c>
      <c r="F152" t="s">
        <v>25</v>
      </c>
      <c r="G152" s="30">
        <v>0.21</v>
      </c>
      <c r="H152" t="s">
        <v>40</v>
      </c>
      <c r="I152" t="s">
        <v>27</v>
      </c>
      <c r="J152" t="s">
        <v>28</v>
      </c>
      <c r="K152">
        <f>B152*E152*(1-G152)</f>
        <v>46802.578300000008</v>
      </c>
      <c r="L152">
        <f>D152*B152</f>
        <v>49053.22</v>
      </c>
      <c r="M152">
        <f>K152-L152</f>
        <v>-2250.6416999999929</v>
      </c>
    </row>
    <row r="153" spans="1:13" hidden="1" x14ac:dyDescent="0.35">
      <c r="A153" t="s">
        <v>303</v>
      </c>
      <c r="B153">
        <v>44</v>
      </c>
      <c r="C153" s="4" t="s">
        <v>39</v>
      </c>
      <c r="D153">
        <v>2257.48</v>
      </c>
      <c r="E153">
        <v>3747.81</v>
      </c>
      <c r="F153" t="s">
        <v>25</v>
      </c>
      <c r="G153" s="30">
        <v>0.27</v>
      </c>
      <c r="H153" t="s">
        <v>26</v>
      </c>
      <c r="I153" t="s">
        <v>27</v>
      </c>
      <c r="J153" t="s">
        <v>41</v>
      </c>
      <c r="K153">
        <f>B153*E153*(1-G153)</f>
        <v>120379.65719999999</v>
      </c>
      <c r="L153">
        <f>D153*B153</f>
        <v>99329.12</v>
      </c>
      <c r="M153">
        <f>K153-L153</f>
        <v>21050.537199999992</v>
      </c>
    </row>
    <row r="154" spans="1:13" hidden="1" x14ac:dyDescent="0.35">
      <c r="A154" t="s">
        <v>304</v>
      </c>
      <c r="B154">
        <v>26</v>
      </c>
      <c r="C154" s="4" t="s">
        <v>39</v>
      </c>
      <c r="D154">
        <v>149.11000000000001</v>
      </c>
      <c r="E154">
        <v>477.67</v>
      </c>
      <c r="F154" t="s">
        <v>25</v>
      </c>
      <c r="G154" s="30">
        <v>0.14000000000000001</v>
      </c>
      <c r="H154" t="s">
        <v>26</v>
      </c>
      <c r="I154" t="s">
        <v>27</v>
      </c>
      <c r="J154" t="s">
        <v>41</v>
      </c>
      <c r="K154">
        <f>B154*E154*(1-G154)</f>
        <v>10680.7012</v>
      </c>
      <c r="L154">
        <f>D154*B154</f>
        <v>3876.8600000000006</v>
      </c>
      <c r="M154">
        <f>K154-L154</f>
        <v>6803.8411999999989</v>
      </c>
    </row>
    <row r="155" spans="1:13" hidden="1" x14ac:dyDescent="0.35">
      <c r="A155" t="s">
        <v>66</v>
      </c>
      <c r="B155">
        <v>43</v>
      </c>
      <c r="C155" s="4" t="s">
        <v>39</v>
      </c>
      <c r="D155">
        <v>1100.81</v>
      </c>
      <c r="E155">
        <v>1137.44</v>
      </c>
      <c r="F155" t="s">
        <v>25</v>
      </c>
      <c r="G155" s="30">
        <v>0.08</v>
      </c>
      <c r="H155" t="s">
        <v>40</v>
      </c>
      <c r="I155" t="s">
        <v>34</v>
      </c>
      <c r="J155" t="s">
        <v>28</v>
      </c>
      <c r="K155">
        <f>B155*E155*(1-G155)</f>
        <v>44997.126400000008</v>
      </c>
      <c r="L155">
        <f>D155*B155</f>
        <v>47334.829999999994</v>
      </c>
      <c r="M155">
        <f>K155-L155</f>
        <v>-2337.7035999999862</v>
      </c>
    </row>
    <row r="156" spans="1:13" hidden="1" x14ac:dyDescent="0.35">
      <c r="A156" t="s">
        <v>259</v>
      </c>
      <c r="B156">
        <v>16</v>
      </c>
      <c r="C156" s="4" t="s">
        <v>24</v>
      </c>
      <c r="D156">
        <v>2915.88</v>
      </c>
      <c r="E156">
        <v>3397.36</v>
      </c>
      <c r="F156" t="s">
        <v>46</v>
      </c>
      <c r="G156" s="30">
        <v>0.2</v>
      </c>
      <c r="H156" t="s">
        <v>40</v>
      </c>
      <c r="I156" t="s">
        <v>34</v>
      </c>
      <c r="J156" t="s">
        <v>28</v>
      </c>
      <c r="K156">
        <f>B156*E156*(1-G156)</f>
        <v>43486.208000000006</v>
      </c>
      <c r="L156">
        <f>D156*B156</f>
        <v>46654.080000000002</v>
      </c>
      <c r="M156">
        <f>K156-L156</f>
        <v>-3167.8719999999958</v>
      </c>
    </row>
    <row r="157" spans="1:13" x14ac:dyDescent="0.35">
      <c r="A157" t="s">
        <v>61</v>
      </c>
      <c r="B157">
        <v>18</v>
      </c>
      <c r="C157" s="4" t="s">
        <v>45</v>
      </c>
      <c r="D157">
        <v>2228.35</v>
      </c>
      <c r="E157">
        <v>2682.34</v>
      </c>
      <c r="F157" t="s">
        <v>46</v>
      </c>
      <c r="G157" s="30">
        <v>0.13</v>
      </c>
      <c r="H157" t="s">
        <v>40</v>
      </c>
      <c r="I157" t="s">
        <v>27</v>
      </c>
      <c r="J157" t="s">
        <v>28</v>
      </c>
      <c r="K157">
        <f>B157*E157*(1-G157)</f>
        <v>42005.4444</v>
      </c>
      <c r="L157">
        <f>D157*B157</f>
        <v>40110.299999999996</v>
      </c>
      <c r="M157">
        <f>K157-L157</f>
        <v>1895.1444000000047</v>
      </c>
    </row>
    <row r="158" spans="1:13" hidden="1" x14ac:dyDescent="0.35">
      <c r="A158" t="s">
        <v>132</v>
      </c>
      <c r="B158">
        <v>12</v>
      </c>
      <c r="C158" s="4" t="s">
        <v>51</v>
      </c>
      <c r="D158">
        <v>3544.48</v>
      </c>
      <c r="E158">
        <v>3723.66</v>
      </c>
      <c r="F158" t="s">
        <v>25</v>
      </c>
      <c r="G158" s="30">
        <v>0.06</v>
      </c>
      <c r="H158" t="s">
        <v>26</v>
      </c>
      <c r="I158" t="s">
        <v>27</v>
      </c>
      <c r="J158" t="s">
        <v>28</v>
      </c>
      <c r="K158">
        <f>B158*E158*(1-G158)</f>
        <v>42002.884799999993</v>
      </c>
      <c r="L158">
        <f>D158*B158</f>
        <v>42533.760000000002</v>
      </c>
      <c r="M158">
        <f>K158-L158</f>
        <v>-530.8752000000095</v>
      </c>
    </row>
    <row r="159" spans="1:13" hidden="1" x14ac:dyDescent="0.35">
      <c r="A159" t="s">
        <v>313</v>
      </c>
      <c r="B159">
        <v>20</v>
      </c>
      <c r="C159" s="4" t="s">
        <v>39</v>
      </c>
      <c r="D159">
        <v>3115.06</v>
      </c>
      <c r="E159">
        <v>3765.58</v>
      </c>
      <c r="F159" t="s">
        <v>25</v>
      </c>
      <c r="G159" s="30">
        <v>0.3</v>
      </c>
      <c r="H159" t="s">
        <v>47</v>
      </c>
      <c r="I159" t="s">
        <v>27</v>
      </c>
      <c r="J159" t="s">
        <v>35</v>
      </c>
      <c r="K159">
        <f>B159*E159*(1-G159)</f>
        <v>52718.12</v>
      </c>
      <c r="L159">
        <f>D159*B159</f>
        <v>62301.2</v>
      </c>
      <c r="M159">
        <f>K159-L159</f>
        <v>-9583.0799999999945</v>
      </c>
    </row>
    <row r="160" spans="1:13" hidden="1" x14ac:dyDescent="0.35">
      <c r="A160" t="s">
        <v>315</v>
      </c>
      <c r="B160">
        <v>12</v>
      </c>
      <c r="C160" s="4" t="s">
        <v>45</v>
      </c>
      <c r="D160">
        <v>2427.46</v>
      </c>
      <c r="E160">
        <v>2743.09</v>
      </c>
      <c r="F160" t="s">
        <v>46</v>
      </c>
      <c r="G160" s="30">
        <v>0.28999999999999998</v>
      </c>
      <c r="H160" t="s">
        <v>47</v>
      </c>
      <c r="I160" t="s">
        <v>34</v>
      </c>
      <c r="J160" t="s">
        <v>35</v>
      </c>
      <c r="K160">
        <f>B160*E160*(1-G160)</f>
        <v>23371.126800000002</v>
      </c>
      <c r="L160">
        <f>D160*B160</f>
        <v>29129.52</v>
      </c>
      <c r="M160">
        <f>K160-L160</f>
        <v>-5758.3931999999986</v>
      </c>
    </row>
    <row r="161" spans="1:13" x14ac:dyDescent="0.35">
      <c r="A161" t="s">
        <v>340</v>
      </c>
      <c r="B161">
        <v>15</v>
      </c>
      <c r="C161" s="4" t="s">
        <v>24</v>
      </c>
      <c r="D161">
        <v>2579.31</v>
      </c>
      <c r="E161">
        <v>2867.36</v>
      </c>
      <c r="F161" t="s">
        <v>25</v>
      </c>
      <c r="G161" s="30">
        <v>0.04</v>
      </c>
      <c r="H161" t="s">
        <v>40</v>
      </c>
      <c r="I161" t="s">
        <v>34</v>
      </c>
      <c r="J161" t="s">
        <v>28</v>
      </c>
      <c r="K161">
        <f>B161*E161*(1-G161)</f>
        <v>41289.983999999997</v>
      </c>
      <c r="L161">
        <f>D161*B161</f>
        <v>38689.65</v>
      </c>
      <c r="M161">
        <f>K161-L161</f>
        <v>2600.3339999999953</v>
      </c>
    </row>
    <row r="162" spans="1:13" hidden="1" x14ac:dyDescent="0.35">
      <c r="A162" t="s">
        <v>318</v>
      </c>
      <c r="B162">
        <v>4</v>
      </c>
      <c r="C162" s="4" t="s">
        <v>45</v>
      </c>
      <c r="D162">
        <v>1134.67</v>
      </c>
      <c r="E162">
        <v>1201.3900000000001</v>
      </c>
      <c r="F162" t="s">
        <v>46</v>
      </c>
      <c r="G162" s="30">
        <v>0.3</v>
      </c>
      <c r="H162" t="s">
        <v>40</v>
      </c>
      <c r="I162" t="s">
        <v>27</v>
      </c>
      <c r="J162" t="s">
        <v>35</v>
      </c>
      <c r="K162">
        <f>B162*E162*(1-G162)</f>
        <v>3363.8920000000003</v>
      </c>
      <c r="L162">
        <f>D162*B162</f>
        <v>4538.68</v>
      </c>
      <c r="M162">
        <f>K162-L162</f>
        <v>-1174.788</v>
      </c>
    </row>
    <row r="163" spans="1:13" hidden="1" x14ac:dyDescent="0.35">
      <c r="A163" t="s">
        <v>319</v>
      </c>
      <c r="B163">
        <v>23</v>
      </c>
      <c r="C163" s="4" t="s">
        <v>51</v>
      </c>
      <c r="D163">
        <v>608.57000000000005</v>
      </c>
      <c r="E163">
        <v>1032.22</v>
      </c>
      <c r="F163" t="s">
        <v>46</v>
      </c>
      <c r="G163" s="30">
        <v>0.25</v>
      </c>
      <c r="H163" t="s">
        <v>26</v>
      </c>
      <c r="I163" t="s">
        <v>27</v>
      </c>
      <c r="J163" t="s">
        <v>41</v>
      </c>
      <c r="K163">
        <f>B163*E163*(1-G163)</f>
        <v>17805.795000000002</v>
      </c>
      <c r="L163">
        <f>D163*B163</f>
        <v>13997.11</v>
      </c>
      <c r="M163">
        <f>K163-L163</f>
        <v>3808.6850000000013</v>
      </c>
    </row>
    <row r="164" spans="1:13" hidden="1" x14ac:dyDescent="0.35">
      <c r="A164" t="s">
        <v>320</v>
      </c>
      <c r="B164">
        <v>48</v>
      </c>
      <c r="C164" s="4" t="s">
        <v>39</v>
      </c>
      <c r="D164">
        <v>3002.35</v>
      </c>
      <c r="E164">
        <v>4080.61</v>
      </c>
      <c r="F164" t="s">
        <v>25</v>
      </c>
      <c r="G164" s="30">
        <v>0.18</v>
      </c>
      <c r="H164" t="s">
        <v>40</v>
      </c>
      <c r="I164" t="s">
        <v>27</v>
      </c>
      <c r="J164" t="s">
        <v>35</v>
      </c>
      <c r="K164">
        <f>B164*E164*(1-G164)</f>
        <v>160612.80960000001</v>
      </c>
      <c r="L164">
        <f>D164*B164</f>
        <v>144112.79999999999</v>
      </c>
      <c r="M164">
        <f>K164-L164</f>
        <v>16500.009600000019</v>
      </c>
    </row>
    <row r="165" spans="1:13" hidden="1" x14ac:dyDescent="0.35">
      <c r="A165" t="s">
        <v>322</v>
      </c>
      <c r="B165">
        <v>48</v>
      </c>
      <c r="C165" s="4" t="s">
        <v>45</v>
      </c>
      <c r="D165">
        <v>2449.21</v>
      </c>
      <c r="E165">
        <v>2714.12</v>
      </c>
      <c r="F165" t="s">
        <v>46</v>
      </c>
      <c r="G165" s="30">
        <v>0.01</v>
      </c>
      <c r="H165" t="s">
        <v>47</v>
      </c>
      <c r="I165" t="s">
        <v>34</v>
      </c>
      <c r="J165" t="s">
        <v>35</v>
      </c>
      <c r="K165">
        <f>B165*E165*(1-G165)</f>
        <v>128974.98239999999</v>
      </c>
      <c r="L165">
        <f>D165*B165</f>
        <v>117562.08</v>
      </c>
      <c r="M165">
        <f>K165-L165</f>
        <v>11412.902399999992</v>
      </c>
    </row>
    <row r="166" spans="1:13" x14ac:dyDescent="0.35">
      <c r="A166" t="s">
        <v>403</v>
      </c>
      <c r="B166">
        <v>39</v>
      </c>
      <c r="C166" s="4" t="s">
        <v>45</v>
      </c>
      <c r="D166">
        <v>1004.71</v>
      </c>
      <c r="E166">
        <v>1389.35</v>
      </c>
      <c r="F166" t="s">
        <v>46</v>
      </c>
      <c r="G166" s="30">
        <v>0.24</v>
      </c>
      <c r="H166" t="s">
        <v>40</v>
      </c>
      <c r="I166" t="s">
        <v>34</v>
      </c>
      <c r="J166" t="s">
        <v>28</v>
      </c>
      <c r="K166">
        <f>B166*E166*(1-G166)</f>
        <v>41180.333999999995</v>
      </c>
      <c r="L166">
        <f>D166*B166</f>
        <v>39183.69</v>
      </c>
      <c r="M166">
        <f>K166-L166</f>
        <v>1996.643999999993</v>
      </c>
    </row>
    <row r="167" spans="1:13" hidden="1" x14ac:dyDescent="0.35">
      <c r="A167" t="s">
        <v>325</v>
      </c>
      <c r="B167">
        <v>25</v>
      </c>
      <c r="C167" s="4" t="s">
        <v>51</v>
      </c>
      <c r="D167">
        <v>1933.39</v>
      </c>
      <c r="E167">
        <v>1982.92</v>
      </c>
      <c r="F167" t="s">
        <v>46</v>
      </c>
      <c r="G167" s="30">
        <v>0.17</v>
      </c>
      <c r="H167" t="s">
        <v>40</v>
      </c>
      <c r="I167" t="s">
        <v>34</v>
      </c>
      <c r="J167" t="s">
        <v>35</v>
      </c>
      <c r="K167">
        <f>B167*E167*(1-G167)</f>
        <v>41145.589999999997</v>
      </c>
      <c r="L167">
        <f>D167*B167</f>
        <v>48334.75</v>
      </c>
      <c r="M167">
        <f>K167-L167</f>
        <v>-7189.1600000000035</v>
      </c>
    </row>
    <row r="168" spans="1:13" hidden="1" x14ac:dyDescent="0.35">
      <c r="A168" t="s">
        <v>326</v>
      </c>
      <c r="B168">
        <v>2</v>
      </c>
      <c r="C168" s="4" t="s">
        <v>45</v>
      </c>
      <c r="D168">
        <v>575.32000000000005</v>
      </c>
      <c r="E168">
        <v>914.77</v>
      </c>
      <c r="F168" t="s">
        <v>25</v>
      </c>
      <c r="G168" s="30">
        <v>0.26</v>
      </c>
      <c r="H168" t="s">
        <v>40</v>
      </c>
      <c r="I168" t="s">
        <v>27</v>
      </c>
      <c r="J168" t="s">
        <v>35</v>
      </c>
      <c r="K168">
        <f>B168*E168*(1-G168)</f>
        <v>1353.8596</v>
      </c>
      <c r="L168">
        <f>D168*B168</f>
        <v>1150.6400000000001</v>
      </c>
      <c r="M168">
        <f>K168-L168</f>
        <v>203.2195999999999</v>
      </c>
    </row>
    <row r="169" spans="1:13" hidden="1" x14ac:dyDescent="0.35">
      <c r="A169" t="s">
        <v>328</v>
      </c>
      <c r="B169">
        <v>30</v>
      </c>
      <c r="C169" s="4" t="s">
        <v>39</v>
      </c>
      <c r="D169">
        <v>2680.22</v>
      </c>
      <c r="E169">
        <v>4027.92</v>
      </c>
      <c r="F169" t="s">
        <v>25</v>
      </c>
      <c r="G169" s="30">
        <v>0.25</v>
      </c>
      <c r="H169" t="s">
        <v>40</v>
      </c>
      <c r="I169" t="s">
        <v>27</v>
      </c>
      <c r="J169" t="s">
        <v>35</v>
      </c>
      <c r="K169">
        <f>B169*E169*(1-G169)</f>
        <v>90628.200000000012</v>
      </c>
      <c r="L169">
        <f>D169*B169</f>
        <v>80406.599999999991</v>
      </c>
      <c r="M169">
        <f>K169-L169</f>
        <v>10221.60000000002</v>
      </c>
    </row>
    <row r="170" spans="1:13" hidden="1" x14ac:dyDescent="0.35">
      <c r="A170" t="s">
        <v>329</v>
      </c>
      <c r="B170">
        <v>3</v>
      </c>
      <c r="C170" s="4" t="s">
        <v>51</v>
      </c>
      <c r="D170">
        <v>2009.1</v>
      </c>
      <c r="E170">
        <v>2186.42</v>
      </c>
      <c r="F170" t="s">
        <v>46</v>
      </c>
      <c r="G170" s="30">
        <v>0.25</v>
      </c>
      <c r="H170" t="s">
        <v>40</v>
      </c>
      <c r="I170" t="s">
        <v>27</v>
      </c>
      <c r="J170" t="s">
        <v>35</v>
      </c>
      <c r="K170">
        <f>B170*E170*(1-G170)</f>
        <v>4919.4449999999997</v>
      </c>
      <c r="L170">
        <f>D170*B170</f>
        <v>6027.2999999999993</v>
      </c>
      <c r="M170">
        <f>K170-L170</f>
        <v>-1107.8549999999996</v>
      </c>
    </row>
    <row r="171" spans="1:13" hidden="1" x14ac:dyDescent="0.35">
      <c r="A171" t="s">
        <v>330</v>
      </c>
      <c r="B171">
        <v>21</v>
      </c>
      <c r="C171" s="4" t="s">
        <v>39</v>
      </c>
      <c r="D171">
        <v>3085.1</v>
      </c>
      <c r="E171">
        <v>3800.75</v>
      </c>
      <c r="F171" t="s">
        <v>46</v>
      </c>
      <c r="G171" s="30">
        <v>0.21</v>
      </c>
      <c r="H171" t="s">
        <v>26</v>
      </c>
      <c r="I171" t="s">
        <v>34</v>
      </c>
      <c r="J171" t="s">
        <v>41</v>
      </c>
      <c r="K171">
        <f>B171*E171*(1-G171)</f>
        <v>63054.442500000005</v>
      </c>
      <c r="L171">
        <f>D171*B171</f>
        <v>64787.1</v>
      </c>
      <c r="M171">
        <f>K171-L171</f>
        <v>-1732.6574999999939</v>
      </c>
    </row>
    <row r="172" spans="1:13" x14ac:dyDescent="0.35">
      <c r="A172" t="s">
        <v>255</v>
      </c>
      <c r="B172">
        <v>44</v>
      </c>
      <c r="C172" s="4" t="s">
        <v>39</v>
      </c>
      <c r="D172">
        <v>618.79</v>
      </c>
      <c r="E172">
        <v>938.04</v>
      </c>
      <c r="F172" t="s">
        <v>25</v>
      </c>
      <c r="G172" s="30">
        <v>0.03</v>
      </c>
      <c r="H172" t="s">
        <v>26</v>
      </c>
      <c r="I172" t="s">
        <v>27</v>
      </c>
      <c r="J172" t="s">
        <v>28</v>
      </c>
      <c r="K172">
        <f>B172*E172*(1-G172)</f>
        <v>40035.547199999994</v>
      </c>
      <c r="L172">
        <f>D172*B172</f>
        <v>27226.76</v>
      </c>
      <c r="M172">
        <f>K172-L172</f>
        <v>12808.787199999995</v>
      </c>
    </row>
    <row r="173" spans="1:13" hidden="1" x14ac:dyDescent="0.35">
      <c r="A173" t="s">
        <v>495</v>
      </c>
      <c r="B173">
        <v>13</v>
      </c>
      <c r="C173" s="4" t="s">
        <v>39</v>
      </c>
      <c r="D173">
        <v>3102.73</v>
      </c>
      <c r="E173">
        <v>3202.68</v>
      </c>
      <c r="F173" t="s">
        <v>46</v>
      </c>
      <c r="G173" s="30">
        <v>0.09</v>
      </c>
      <c r="H173" t="s">
        <v>26</v>
      </c>
      <c r="I173" t="s">
        <v>34</v>
      </c>
      <c r="J173" t="s">
        <v>28</v>
      </c>
      <c r="K173">
        <f>B173*E173*(1-G173)</f>
        <v>37887.704399999995</v>
      </c>
      <c r="L173">
        <f>D173*B173</f>
        <v>40335.49</v>
      </c>
      <c r="M173">
        <f>K173-L173</f>
        <v>-2447.7856000000029</v>
      </c>
    </row>
    <row r="174" spans="1:13" hidden="1" x14ac:dyDescent="0.35">
      <c r="A174" t="s">
        <v>334</v>
      </c>
      <c r="B174">
        <v>49</v>
      </c>
      <c r="C174" s="4" t="s">
        <v>51</v>
      </c>
      <c r="D174">
        <v>4812.41</v>
      </c>
      <c r="E174">
        <v>5588</v>
      </c>
      <c r="F174" t="s">
        <v>25</v>
      </c>
      <c r="G174" s="30">
        <v>0.09</v>
      </c>
      <c r="H174" t="s">
        <v>47</v>
      </c>
      <c r="I174" t="s">
        <v>34</v>
      </c>
      <c r="J174" t="s">
        <v>41</v>
      </c>
      <c r="K174">
        <f>B174*E174*(1-G174)</f>
        <v>249168.92</v>
      </c>
      <c r="L174">
        <f>D174*B174</f>
        <v>235808.09</v>
      </c>
      <c r="M174">
        <f>K174-L174</f>
        <v>13360.830000000016</v>
      </c>
    </row>
    <row r="175" spans="1:13" hidden="1" x14ac:dyDescent="0.35">
      <c r="A175" t="s">
        <v>335</v>
      </c>
      <c r="B175">
        <v>22</v>
      </c>
      <c r="C175" s="4" t="s">
        <v>51</v>
      </c>
      <c r="D175">
        <v>2701.39</v>
      </c>
      <c r="E175">
        <v>3185.81</v>
      </c>
      <c r="F175" t="s">
        <v>46</v>
      </c>
      <c r="G175" s="30">
        <v>0.01</v>
      </c>
      <c r="H175" t="s">
        <v>40</v>
      </c>
      <c r="I175" t="s">
        <v>34</v>
      </c>
      <c r="J175" t="s">
        <v>35</v>
      </c>
      <c r="K175">
        <f>B175*E175*(1-G175)</f>
        <v>69386.941799999986</v>
      </c>
      <c r="L175">
        <f>D175*B175</f>
        <v>59430.579999999994</v>
      </c>
      <c r="M175">
        <f>K175-L175</f>
        <v>9956.3617999999915</v>
      </c>
    </row>
    <row r="176" spans="1:13" hidden="1" x14ac:dyDescent="0.35">
      <c r="A176" t="s">
        <v>336</v>
      </c>
      <c r="B176">
        <v>21</v>
      </c>
      <c r="C176" s="4" t="s">
        <v>45</v>
      </c>
      <c r="D176">
        <v>3110.54</v>
      </c>
      <c r="E176">
        <v>3192.99</v>
      </c>
      <c r="F176" t="s">
        <v>46</v>
      </c>
      <c r="G176" s="30">
        <v>0.17</v>
      </c>
      <c r="H176" t="s">
        <v>47</v>
      </c>
      <c r="I176" t="s">
        <v>27</v>
      </c>
      <c r="J176" t="s">
        <v>41</v>
      </c>
      <c r="K176">
        <f>B176*E176*(1-G176)</f>
        <v>55653.815699999992</v>
      </c>
      <c r="L176">
        <f>D176*B176</f>
        <v>65321.34</v>
      </c>
      <c r="M176">
        <f>K176-L176</f>
        <v>-9667.5243000000046</v>
      </c>
    </row>
    <row r="177" spans="1:13" hidden="1" x14ac:dyDescent="0.35">
      <c r="A177" t="s">
        <v>338</v>
      </c>
      <c r="B177">
        <v>33</v>
      </c>
      <c r="C177" s="4" t="s">
        <v>45</v>
      </c>
      <c r="D177">
        <v>3419.33</v>
      </c>
      <c r="E177">
        <v>3890.36</v>
      </c>
      <c r="F177" t="s">
        <v>25</v>
      </c>
      <c r="G177" s="30">
        <v>0.21</v>
      </c>
      <c r="H177" t="s">
        <v>26</v>
      </c>
      <c r="I177" t="s">
        <v>27</v>
      </c>
      <c r="J177" t="s">
        <v>35</v>
      </c>
      <c r="K177">
        <f>B177*E177*(1-G177)</f>
        <v>101421.68520000001</v>
      </c>
      <c r="L177">
        <f>D177*B177</f>
        <v>112837.89</v>
      </c>
      <c r="M177">
        <f>K177-L177</f>
        <v>-11416.204799999992</v>
      </c>
    </row>
    <row r="178" spans="1:13" hidden="1" x14ac:dyDescent="0.35">
      <c r="A178" t="s">
        <v>339</v>
      </c>
      <c r="B178">
        <v>38</v>
      </c>
      <c r="C178" s="4" t="s">
        <v>45</v>
      </c>
      <c r="D178">
        <v>3350.32</v>
      </c>
      <c r="E178">
        <v>5449.94</v>
      </c>
      <c r="F178" t="s">
        <v>46</v>
      </c>
      <c r="G178" s="30">
        <v>0.26</v>
      </c>
      <c r="H178" t="s">
        <v>26</v>
      </c>
      <c r="I178" t="s">
        <v>27</v>
      </c>
      <c r="J178" t="s">
        <v>41</v>
      </c>
      <c r="K178">
        <f>B178*E178*(1-G178)</f>
        <v>153252.31279999999</v>
      </c>
      <c r="L178">
        <f>D178*B178</f>
        <v>127312.16</v>
      </c>
      <c r="M178">
        <f>K178-L178</f>
        <v>25940.152799999982</v>
      </c>
    </row>
    <row r="179" spans="1:13" x14ac:dyDescent="0.35">
      <c r="A179" t="s">
        <v>232</v>
      </c>
      <c r="B179">
        <v>40</v>
      </c>
      <c r="C179" s="4" t="s">
        <v>39</v>
      </c>
      <c r="D179">
        <v>601.86</v>
      </c>
      <c r="E179">
        <v>1067.53</v>
      </c>
      <c r="F179" t="s">
        <v>46</v>
      </c>
      <c r="G179" s="30">
        <v>0.18</v>
      </c>
      <c r="H179" t="s">
        <v>26</v>
      </c>
      <c r="I179" t="s">
        <v>34</v>
      </c>
      <c r="J179" t="s">
        <v>28</v>
      </c>
      <c r="K179">
        <f>B179*E179*(1-G179)</f>
        <v>35014.983999999997</v>
      </c>
      <c r="L179">
        <f>D179*B179</f>
        <v>24074.400000000001</v>
      </c>
      <c r="M179">
        <f>K179-L179</f>
        <v>10940.583999999995</v>
      </c>
    </row>
    <row r="180" spans="1:13" hidden="1" x14ac:dyDescent="0.35">
      <c r="A180" t="s">
        <v>201</v>
      </c>
      <c r="B180">
        <v>19</v>
      </c>
      <c r="C180" s="4" t="s">
        <v>45</v>
      </c>
      <c r="D180">
        <v>1922.21</v>
      </c>
      <c r="E180">
        <v>2180.83</v>
      </c>
      <c r="F180" t="s">
        <v>25</v>
      </c>
      <c r="G180" s="30">
        <v>0.17</v>
      </c>
      <c r="H180" t="s">
        <v>47</v>
      </c>
      <c r="I180" t="s">
        <v>27</v>
      </c>
      <c r="J180" t="s">
        <v>28</v>
      </c>
      <c r="K180">
        <f>B180*E180*(1-G180)</f>
        <v>34391.689099999996</v>
      </c>
      <c r="L180">
        <f>D180*B180</f>
        <v>36521.99</v>
      </c>
      <c r="M180">
        <f>K180-L180</f>
        <v>-2130.300900000002</v>
      </c>
    </row>
    <row r="181" spans="1:13" hidden="1" x14ac:dyDescent="0.35">
      <c r="A181" t="s">
        <v>425</v>
      </c>
      <c r="B181">
        <v>40</v>
      </c>
      <c r="C181" s="4" t="s">
        <v>24</v>
      </c>
      <c r="D181">
        <v>959.73</v>
      </c>
      <c r="E181">
        <v>1111.4100000000001</v>
      </c>
      <c r="F181" t="s">
        <v>46</v>
      </c>
      <c r="G181" s="30">
        <v>0.23</v>
      </c>
      <c r="H181" t="s">
        <v>40</v>
      </c>
      <c r="I181" t="s">
        <v>34</v>
      </c>
      <c r="J181" t="s">
        <v>28</v>
      </c>
      <c r="K181">
        <f>B181*E181*(1-G181)</f>
        <v>34231.428</v>
      </c>
      <c r="L181">
        <f>D181*B181</f>
        <v>38389.199999999997</v>
      </c>
      <c r="M181">
        <f>K181-L181</f>
        <v>-4157.7719999999972</v>
      </c>
    </row>
    <row r="182" spans="1:13" hidden="1" x14ac:dyDescent="0.35">
      <c r="A182" t="s">
        <v>344</v>
      </c>
      <c r="B182">
        <v>46</v>
      </c>
      <c r="C182" s="4" t="s">
        <v>24</v>
      </c>
      <c r="D182">
        <v>159.32</v>
      </c>
      <c r="E182">
        <v>303.36</v>
      </c>
      <c r="F182" t="s">
        <v>46</v>
      </c>
      <c r="G182" s="30">
        <v>0.03</v>
      </c>
      <c r="H182" t="s">
        <v>26</v>
      </c>
      <c r="I182" t="s">
        <v>34</v>
      </c>
      <c r="J182" t="s">
        <v>35</v>
      </c>
      <c r="K182">
        <f>B182*E182*(1-G182)</f>
        <v>13535.923200000001</v>
      </c>
      <c r="L182">
        <f>D182*B182</f>
        <v>7328.7199999999993</v>
      </c>
      <c r="M182">
        <f>K182-L182</f>
        <v>6207.2032000000017</v>
      </c>
    </row>
    <row r="183" spans="1:13" hidden="1" x14ac:dyDescent="0.35">
      <c r="A183" t="s">
        <v>346</v>
      </c>
      <c r="B183">
        <v>25</v>
      </c>
      <c r="C183" s="4" t="s">
        <v>39</v>
      </c>
      <c r="D183">
        <v>1821.91</v>
      </c>
      <c r="E183">
        <v>2027.74</v>
      </c>
      <c r="F183" t="s">
        <v>46</v>
      </c>
      <c r="G183" s="30">
        <v>0.02</v>
      </c>
      <c r="H183" t="s">
        <v>40</v>
      </c>
      <c r="I183" t="s">
        <v>27</v>
      </c>
      <c r="J183" t="s">
        <v>35</v>
      </c>
      <c r="K183">
        <f>B183*E183*(1-G183)</f>
        <v>49679.63</v>
      </c>
      <c r="L183">
        <f>D183*B183</f>
        <v>45547.75</v>
      </c>
      <c r="M183">
        <f>K183-L183</f>
        <v>4131.8799999999974</v>
      </c>
    </row>
    <row r="184" spans="1:13" hidden="1" x14ac:dyDescent="0.35">
      <c r="A184" t="s">
        <v>348</v>
      </c>
      <c r="B184">
        <v>21</v>
      </c>
      <c r="C184" s="4" t="s">
        <v>51</v>
      </c>
      <c r="D184">
        <v>1701.62</v>
      </c>
      <c r="E184">
        <v>2193.2199999999998</v>
      </c>
      <c r="F184" t="s">
        <v>46</v>
      </c>
      <c r="G184" s="30">
        <v>0.22</v>
      </c>
      <c r="H184" t="s">
        <v>40</v>
      </c>
      <c r="I184" t="s">
        <v>34</v>
      </c>
      <c r="J184" t="s">
        <v>41</v>
      </c>
      <c r="K184">
        <f>B184*E184*(1-G184)</f>
        <v>35924.943599999999</v>
      </c>
      <c r="L184">
        <f>D184*B184</f>
        <v>35734.019999999997</v>
      </c>
      <c r="M184">
        <f>K184-L184</f>
        <v>190.9236000000019</v>
      </c>
    </row>
    <row r="185" spans="1:13" hidden="1" x14ac:dyDescent="0.35">
      <c r="A185" t="s">
        <v>350</v>
      </c>
      <c r="B185">
        <v>24</v>
      </c>
      <c r="C185" s="4" t="s">
        <v>51</v>
      </c>
      <c r="D185">
        <v>1969.09</v>
      </c>
      <c r="E185">
        <v>2241.96</v>
      </c>
      <c r="F185" t="s">
        <v>25</v>
      </c>
      <c r="G185" s="30">
        <v>0.02</v>
      </c>
      <c r="H185" t="s">
        <v>47</v>
      </c>
      <c r="I185" t="s">
        <v>34</v>
      </c>
      <c r="J185" t="s">
        <v>41</v>
      </c>
      <c r="K185">
        <f>B185*E185*(1-G185)</f>
        <v>52730.8992</v>
      </c>
      <c r="L185">
        <f>D185*B185</f>
        <v>47258.159999999996</v>
      </c>
      <c r="M185">
        <f>K185-L185</f>
        <v>5472.7392000000036</v>
      </c>
    </row>
    <row r="186" spans="1:13" hidden="1" x14ac:dyDescent="0.35">
      <c r="A186" t="s">
        <v>401</v>
      </c>
      <c r="B186">
        <v>12</v>
      </c>
      <c r="C186" s="4" t="s">
        <v>39</v>
      </c>
      <c r="D186">
        <v>3496.15</v>
      </c>
      <c r="E186">
        <v>3955.75</v>
      </c>
      <c r="F186" t="s">
        <v>25</v>
      </c>
      <c r="G186" s="30">
        <v>0.28000000000000003</v>
      </c>
      <c r="H186" t="s">
        <v>26</v>
      </c>
      <c r="I186" t="s">
        <v>34</v>
      </c>
      <c r="J186" t="s">
        <v>28</v>
      </c>
      <c r="K186">
        <f>B186*E186*(1-G186)</f>
        <v>34177.68</v>
      </c>
      <c r="L186">
        <f>D186*B186</f>
        <v>41953.8</v>
      </c>
      <c r="M186">
        <f>K186-L186</f>
        <v>-7776.1200000000026</v>
      </c>
    </row>
    <row r="187" spans="1:13" hidden="1" x14ac:dyDescent="0.35">
      <c r="A187" t="s">
        <v>352</v>
      </c>
      <c r="B187">
        <v>6</v>
      </c>
      <c r="C187" s="4" t="s">
        <v>51</v>
      </c>
      <c r="D187">
        <v>3703.93</v>
      </c>
      <c r="E187">
        <v>3840.24</v>
      </c>
      <c r="F187" t="s">
        <v>46</v>
      </c>
      <c r="G187" s="30">
        <v>7.0000000000000007E-2</v>
      </c>
      <c r="H187" t="s">
        <v>47</v>
      </c>
      <c r="I187" t="s">
        <v>27</v>
      </c>
      <c r="J187" t="s">
        <v>35</v>
      </c>
      <c r="K187">
        <f>B187*E187*(1-G187)</f>
        <v>21428.539199999996</v>
      </c>
      <c r="L187">
        <f>D187*B187</f>
        <v>22223.579999999998</v>
      </c>
      <c r="M187">
        <f>K187-L187</f>
        <v>-795.04080000000249</v>
      </c>
    </row>
    <row r="188" spans="1:13" hidden="1" x14ac:dyDescent="0.35">
      <c r="A188" t="s">
        <v>353</v>
      </c>
      <c r="B188">
        <v>49</v>
      </c>
      <c r="C188" s="4" t="s">
        <v>24</v>
      </c>
      <c r="D188">
        <v>4291.97</v>
      </c>
      <c r="E188">
        <v>6745.64</v>
      </c>
      <c r="F188" t="s">
        <v>25</v>
      </c>
      <c r="G188" s="30">
        <v>0.26</v>
      </c>
      <c r="H188" t="s">
        <v>47</v>
      </c>
      <c r="I188" t="s">
        <v>27</v>
      </c>
      <c r="J188" t="s">
        <v>41</v>
      </c>
      <c r="K188">
        <f>B188*E188*(1-G188)</f>
        <v>244596.90640000004</v>
      </c>
      <c r="L188">
        <f>D188*B188</f>
        <v>210306.53</v>
      </c>
      <c r="M188">
        <f>K188-L188</f>
        <v>34290.376400000037</v>
      </c>
    </row>
    <row r="189" spans="1:13" hidden="1" x14ac:dyDescent="0.35">
      <c r="A189" t="s">
        <v>354</v>
      </c>
      <c r="B189">
        <v>43</v>
      </c>
      <c r="C189" s="4" t="s">
        <v>45</v>
      </c>
      <c r="D189">
        <v>4696.6400000000003</v>
      </c>
      <c r="E189">
        <v>5613.68</v>
      </c>
      <c r="F189" t="s">
        <v>25</v>
      </c>
      <c r="G189" s="30">
        <v>0.15</v>
      </c>
      <c r="H189" t="s">
        <v>40</v>
      </c>
      <c r="I189" t="s">
        <v>34</v>
      </c>
      <c r="J189" t="s">
        <v>35</v>
      </c>
      <c r="K189">
        <f>B189*E189*(1-G189)</f>
        <v>205180.00400000002</v>
      </c>
      <c r="L189">
        <f>D189*B189</f>
        <v>201955.52000000002</v>
      </c>
      <c r="M189">
        <f>K189-L189</f>
        <v>3224.4839999999967</v>
      </c>
    </row>
    <row r="190" spans="1:13" hidden="1" x14ac:dyDescent="0.35">
      <c r="A190" t="s">
        <v>355</v>
      </c>
      <c r="B190">
        <v>48</v>
      </c>
      <c r="C190" s="4" t="s">
        <v>39</v>
      </c>
      <c r="D190">
        <v>2487.19</v>
      </c>
      <c r="E190">
        <v>3321.45</v>
      </c>
      <c r="F190" t="s">
        <v>46</v>
      </c>
      <c r="G190" s="30">
        <v>0.28999999999999998</v>
      </c>
      <c r="H190" t="s">
        <v>26</v>
      </c>
      <c r="I190" t="s">
        <v>34</v>
      </c>
      <c r="J190" t="s">
        <v>35</v>
      </c>
      <c r="K190">
        <f>B190*E190*(1-G190)</f>
        <v>113195.01599999997</v>
      </c>
      <c r="L190">
        <f>D190*B190</f>
        <v>119385.12</v>
      </c>
      <c r="M190">
        <f>K190-L190</f>
        <v>-6190.1040000000212</v>
      </c>
    </row>
    <row r="191" spans="1:13" hidden="1" x14ac:dyDescent="0.35">
      <c r="A191" t="s">
        <v>247</v>
      </c>
      <c r="B191">
        <v>24</v>
      </c>
      <c r="C191" s="4" t="s">
        <v>51</v>
      </c>
      <c r="D191">
        <v>1542.24</v>
      </c>
      <c r="E191">
        <v>1739.45</v>
      </c>
      <c r="F191" t="s">
        <v>25</v>
      </c>
      <c r="G191" s="30">
        <v>0.21</v>
      </c>
      <c r="H191" t="s">
        <v>40</v>
      </c>
      <c r="I191" t="s">
        <v>34</v>
      </c>
      <c r="J191" t="s">
        <v>28</v>
      </c>
      <c r="K191">
        <f>B191*E191*(1-G191)</f>
        <v>32979.972000000002</v>
      </c>
      <c r="L191">
        <f>D191*B191</f>
        <v>37013.760000000002</v>
      </c>
      <c r="M191">
        <f>K191-L191</f>
        <v>-4033.7880000000005</v>
      </c>
    </row>
    <row r="192" spans="1:13" x14ac:dyDescent="0.35">
      <c r="A192" t="s">
        <v>496</v>
      </c>
      <c r="B192">
        <v>7</v>
      </c>
      <c r="C192" s="4" t="s">
        <v>45</v>
      </c>
      <c r="D192">
        <v>4310.95</v>
      </c>
      <c r="E192">
        <v>4723.2</v>
      </c>
      <c r="F192" t="s">
        <v>25</v>
      </c>
      <c r="G192" s="30">
        <v>0.05</v>
      </c>
      <c r="H192" t="s">
        <v>47</v>
      </c>
      <c r="I192" t="s">
        <v>27</v>
      </c>
      <c r="J192" t="s">
        <v>28</v>
      </c>
      <c r="K192">
        <f>B192*E192*(1-G192)</f>
        <v>31409.279999999999</v>
      </c>
      <c r="L192">
        <f>D192*B192</f>
        <v>30176.649999999998</v>
      </c>
      <c r="M192">
        <f>K192-L192</f>
        <v>1232.630000000001</v>
      </c>
    </row>
    <row r="193" spans="1:13" hidden="1" x14ac:dyDescent="0.35">
      <c r="A193" t="s">
        <v>358</v>
      </c>
      <c r="B193">
        <v>23</v>
      </c>
      <c r="C193" s="4" t="s">
        <v>39</v>
      </c>
      <c r="D193">
        <v>2120.54</v>
      </c>
      <c r="E193">
        <v>2597.67</v>
      </c>
      <c r="F193" t="s">
        <v>25</v>
      </c>
      <c r="G193" s="30">
        <v>0.26</v>
      </c>
      <c r="H193" t="s">
        <v>47</v>
      </c>
      <c r="I193" t="s">
        <v>27</v>
      </c>
      <c r="J193" t="s">
        <v>35</v>
      </c>
      <c r="K193">
        <f>B193*E193*(1-G193)</f>
        <v>44212.343400000005</v>
      </c>
      <c r="L193">
        <f>D193*B193</f>
        <v>48772.42</v>
      </c>
      <c r="M193">
        <f>K193-L193</f>
        <v>-4560.0765999999931</v>
      </c>
    </row>
    <row r="194" spans="1:13" hidden="1" x14ac:dyDescent="0.35">
      <c r="A194" t="s">
        <v>360</v>
      </c>
      <c r="B194">
        <v>4</v>
      </c>
      <c r="C194" s="4" t="s">
        <v>51</v>
      </c>
      <c r="D194">
        <v>1581.59</v>
      </c>
      <c r="E194">
        <v>2034.15</v>
      </c>
      <c r="F194" t="s">
        <v>25</v>
      </c>
      <c r="G194" s="30">
        <v>0.21</v>
      </c>
      <c r="H194" t="s">
        <v>26</v>
      </c>
      <c r="I194" t="s">
        <v>27</v>
      </c>
      <c r="J194" t="s">
        <v>35</v>
      </c>
      <c r="K194">
        <f>B194*E194*(1-G194)</f>
        <v>6427.9140000000007</v>
      </c>
      <c r="L194">
        <f>D194*B194</f>
        <v>6326.36</v>
      </c>
      <c r="M194">
        <f>K194-L194</f>
        <v>101.554000000001</v>
      </c>
    </row>
    <row r="195" spans="1:13" hidden="1" x14ac:dyDescent="0.35">
      <c r="A195" t="s">
        <v>361</v>
      </c>
      <c r="B195">
        <v>27</v>
      </c>
      <c r="C195" s="4" t="s">
        <v>51</v>
      </c>
      <c r="D195">
        <v>4686.79</v>
      </c>
      <c r="E195">
        <v>5046.51</v>
      </c>
      <c r="F195" t="s">
        <v>25</v>
      </c>
      <c r="G195" s="30">
        <v>0.05</v>
      </c>
      <c r="H195" t="s">
        <v>47</v>
      </c>
      <c r="I195" t="s">
        <v>27</v>
      </c>
      <c r="J195" t="s">
        <v>35</v>
      </c>
      <c r="K195">
        <f>B195*E195*(1-G195)</f>
        <v>129442.98150000001</v>
      </c>
      <c r="L195">
        <f>D195*B195</f>
        <v>126543.33</v>
      </c>
      <c r="M195">
        <f>K195-L195</f>
        <v>2899.6515000000072</v>
      </c>
    </row>
    <row r="196" spans="1:13" hidden="1" x14ac:dyDescent="0.35">
      <c r="A196" t="s">
        <v>362</v>
      </c>
      <c r="B196">
        <v>18</v>
      </c>
      <c r="C196" s="4" t="s">
        <v>24</v>
      </c>
      <c r="D196">
        <v>2602.6</v>
      </c>
      <c r="E196">
        <v>3013.49</v>
      </c>
      <c r="F196" t="s">
        <v>25</v>
      </c>
      <c r="G196" s="30">
        <v>0.08</v>
      </c>
      <c r="H196" t="s">
        <v>40</v>
      </c>
      <c r="I196" t="s">
        <v>27</v>
      </c>
      <c r="J196" t="s">
        <v>35</v>
      </c>
      <c r="K196">
        <f>B196*E196*(1-G196)</f>
        <v>49903.394399999997</v>
      </c>
      <c r="L196">
        <f>D196*B196</f>
        <v>46846.799999999996</v>
      </c>
      <c r="M196">
        <f>K196-L196</f>
        <v>3056.5944000000018</v>
      </c>
    </row>
    <row r="197" spans="1:13" x14ac:dyDescent="0.35">
      <c r="A197" t="s">
        <v>227</v>
      </c>
      <c r="B197">
        <v>19</v>
      </c>
      <c r="C197" s="4" t="s">
        <v>51</v>
      </c>
      <c r="D197">
        <v>1265.48</v>
      </c>
      <c r="E197">
        <v>1715.83</v>
      </c>
      <c r="F197" t="s">
        <v>46</v>
      </c>
      <c r="G197" s="30">
        <v>0.05</v>
      </c>
      <c r="H197" t="s">
        <v>47</v>
      </c>
      <c r="I197" t="s">
        <v>27</v>
      </c>
      <c r="J197" t="s">
        <v>28</v>
      </c>
      <c r="K197">
        <f>B197*E197*(1-G197)</f>
        <v>30970.731499999994</v>
      </c>
      <c r="L197">
        <f>D197*B197</f>
        <v>24044.12</v>
      </c>
      <c r="M197">
        <f>K197-L197</f>
        <v>6926.6114999999954</v>
      </c>
    </row>
    <row r="198" spans="1:13" hidden="1" x14ac:dyDescent="0.35">
      <c r="A198" t="s">
        <v>364</v>
      </c>
      <c r="B198">
        <v>28</v>
      </c>
      <c r="C198" s="4" t="s">
        <v>51</v>
      </c>
      <c r="D198">
        <v>933.16</v>
      </c>
      <c r="E198">
        <v>1004.7</v>
      </c>
      <c r="F198" t="s">
        <v>25</v>
      </c>
      <c r="G198" s="30">
        <v>0.18</v>
      </c>
      <c r="H198" t="s">
        <v>40</v>
      </c>
      <c r="I198" t="s">
        <v>27</v>
      </c>
      <c r="J198" t="s">
        <v>41</v>
      </c>
      <c r="K198">
        <f>B198*E198*(1-G198)</f>
        <v>23067.912000000004</v>
      </c>
      <c r="L198">
        <f>D198*B198</f>
        <v>26128.48</v>
      </c>
      <c r="M198">
        <f>K198-L198</f>
        <v>-3060.5679999999957</v>
      </c>
    </row>
    <row r="199" spans="1:13" hidden="1" x14ac:dyDescent="0.35">
      <c r="A199" t="s">
        <v>275</v>
      </c>
      <c r="B199">
        <v>24</v>
      </c>
      <c r="C199" s="4" t="s">
        <v>45</v>
      </c>
      <c r="D199">
        <v>1345.67</v>
      </c>
      <c r="E199">
        <v>1367.76</v>
      </c>
      <c r="F199" t="s">
        <v>46</v>
      </c>
      <c r="G199" s="30">
        <v>0.06</v>
      </c>
      <c r="H199" t="s">
        <v>40</v>
      </c>
      <c r="I199" t="s">
        <v>34</v>
      </c>
      <c r="J199" t="s">
        <v>28</v>
      </c>
      <c r="K199">
        <f>B199*E199*(1-G199)</f>
        <v>30856.665599999997</v>
      </c>
      <c r="L199">
        <f>D199*B199</f>
        <v>32296.080000000002</v>
      </c>
      <c r="M199">
        <f>K199-L199</f>
        <v>-1439.4144000000051</v>
      </c>
    </row>
    <row r="200" spans="1:13" hidden="1" x14ac:dyDescent="0.35">
      <c r="A200" t="s">
        <v>366</v>
      </c>
      <c r="B200">
        <v>22</v>
      </c>
      <c r="C200" s="4" t="s">
        <v>39</v>
      </c>
      <c r="D200">
        <v>4218.43</v>
      </c>
      <c r="E200">
        <v>5331.42</v>
      </c>
      <c r="F200" t="s">
        <v>46</v>
      </c>
      <c r="G200" s="30">
        <v>0.26</v>
      </c>
      <c r="H200" t="s">
        <v>40</v>
      </c>
      <c r="I200" t="s">
        <v>34</v>
      </c>
      <c r="J200" t="s">
        <v>41</v>
      </c>
      <c r="K200">
        <f>B200*E200*(1-G200)</f>
        <v>86795.517600000006</v>
      </c>
      <c r="L200">
        <f>D200*B200</f>
        <v>92805.46</v>
      </c>
      <c r="M200">
        <f>K200-L200</f>
        <v>-6009.9423999999999</v>
      </c>
    </row>
    <row r="201" spans="1:13" hidden="1" x14ac:dyDescent="0.35">
      <c r="A201" t="s">
        <v>367</v>
      </c>
      <c r="B201">
        <v>40</v>
      </c>
      <c r="C201" s="4" t="s">
        <v>24</v>
      </c>
      <c r="D201">
        <v>3089.96</v>
      </c>
      <c r="E201">
        <v>4058.45</v>
      </c>
      <c r="F201" t="s">
        <v>46</v>
      </c>
      <c r="G201" s="30">
        <v>0.28999999999999998</v>
      </c>
      <c r="H201" t="s">
        <v>26</v>
      </c>
      <c r="I201" t="s">
        <v>34</v>
      </c>
      <c r="J201" t="s">
        <v>35</v>
      </c>
      <c r="K201">
        <f>B201*E201*(1-G201)</f>
        <v>115259.98</v>
      </c>
      <c r="L201">
        <f>D201*B201</f>
        <v>123598.39999999999</v>
      </c>
      <c r="M201">
        <f>K201-L201</f>
        <v>-8338.4199999999983</v>
      </c>
    </row>
    <row r="202" spans="1:13" hidden="1" x14ac:dyDescent="0.35">
      <c r="A202" t="s">
        <v>369</v>
      </c>
      <c r="B202">
        <v>23</v>
      </c>
      <c r="C202" s="4" t="s">
        <v>24</v>
      </c>
      <c r="D202">
        <v>1662.83</v>
      </c>
      <c r="E202">
        <v>2074.25</v>
      </c>
      <c r="F202" t="s">
        <v>46</v>
      </c>
      <c r="G202" s="30">
        <v>0.12</v>
      </c>
      <c r="H202" t="s">
        <v>40</v>
      </c>
      <c r="I202" t="s">
        <v>34</v>
      </c>
      <c r="J202" t="s">
        <v>41</v>
      </c>
      <c r="K202">
        <f>B202*E202*(1-G202)</f>
        <v>41982.82</v>
      </c>
      <c r="L202">
        <f>D202*B202</f>
        <v>38245.089999999997</v>
      </c>
      <c r="M202">
        <f>K202-L202</f>
        <v>3737.7300000000032</v>
      </c>
    </row>
    <row r="203" spans="1:13" x14ac:dyDescent="0.35">
      <c r="A203" t="s">
        <v>479</v>
      </c>
      <c r="B203">
        <v>23</v>
      </c>
      <c r="C203" s="4" t="s">
        <v>51</v>
      </c>
      <c r="D203">
        <v>1314</v>
      </c>
      <c r="E203">
        <v>1567.78</v>
      </c>
      <c r="F203" t="s">
        <v>25</v>
      </c>
      <c r="G203" s="30">
        <v>0.15</v>
      </c>
      <c r="H203" t="s">
        <v>47</v>
      </c>
      <c r="I203" t="s">
        <v>34</v>
      </c>
      <c r="J203" t="s">
        <v>28</v>
      </c>
      <c r="K203">
        <f>B203*E203*(1-G203)</f>
        <v>30650.099000000002</v>
      </c>
      <c r="L203">
        <f>D203*B203</f>
        <v>30222</v>
      </c>
      <c r="M203">
        <f>K203-L203</f>
        <v>428.09900000000198</v>
      </c>
    </row>
    <row r="204" spans="1:13" hidden="1" x14ac:dyDescent="0.35">
      <c r="A204" t="s">
        <v>332</v>
      </c>
      <c r="B204">
        <v>20</v>
      </c>
      <c r="C204" s="4" t="s">
        <v>51</v>
      </c>
      <c r="D204">
        <v>1533.36</v>
      </c>
      <c r="E204">
        <v>1649.74</v>
      </c>
      <c r="F204" t="s">
        <v>25</v>
      </c>
      <c r="G204" s="30">
        <v>0.1</v>
      </c>
      <c r="H204" t="s">
        <v>40</v>
      </c>
      <c r="I204" t="s">
        <v>27</v>
      </c>
      <c r="J204" t="s">
        <v>28</v>
      </c>
      <c r="K204">
        <f>B204*E204*(1-G204)</f>
        <v>29695.320000000003</v>
      </c>
      <c r="L204">
        <f>D204*B204</f>
        <v>30667.199999999997</v>
      </c>
      <c r="M204">
        <f>K204-L204</f>
        <v>-971.87999999999374</v>
      </c>
    </row>
    <row r="205" spans="1:13" hidden="1" x14ac:dyDescent="0.35">
      <c r="A205" t="s">
        <v>372</v>
      </c>
      <c r="B205">
        <v>10</v>
      </c>
      <c r="C205" s="4" t="s">
        <v>51</v>
      </c>
      <c r="D205">
        <v>2940.4</v>
      </c>
      <c r="E205">
        <v>3054.79</v>
      </c>
      <c r="F205" t="s">
        <v>25</v>
      </c>
      <c r="G205" s="30">
        <v>0.08</v>
      </c>
      <c r="H205" t="s">
        <v>47</v>
      </c>
      <c r="I205" t="s">
        <v>27</v>
      </c>
      <c r="J205" t="s">
        <v>35</v>
      </c>
      <c r="K205">
        <f>B205*E205*(1-G205)</f>
        <v>28104.068000000003</v>
      </c>
      <c r="L205">
        <f>D205*B205</f>
        <v>29404</v>
      </c>
      <c r="M205">
        <f>K205-L205</f>
        <v>-1299.9319999999971</v>
      </c>
    </row>
    <row r="206" spans="1:13" x14ac:dyDescent="0.35">
      <c r="A206" t="s">
        <v>365</v>
      </c>
      <c r="B206">
        <v>35</v>
      </c>
      <c r="C206" s="4" t="s">
        <v>51</v>
      </c>
      <c r="D206">
        <v>585.37</v>
      </c>
      <c r="E206">
        <v>970.49</v>
      </c>
      <c r="F206" t="s">
        <v>25</v>
      </c>
      <c r="G206" s="30">
        <v>0.15</v>
      </c>
      <c r="H206" t="s">
        <v>40</v>
      </c>
      <c r="I206" t="s">
        <v>34</v>
      </c>
      <c r="J206" t="s">
        <v>28</v>
      </c>
      <c r="K206">
        <f>B206*E206*(1-G206)</f>
        <v>28872.077499999999</v>
      </c>
      <c r="L206">
        <f>D206*B206</f>
        <v>20487.95</v>
      </c>
      <c r="M206">
        <f>K206-L206</f>
        <v>8384.1274999999987</v>
      </c>
    </row>
    <row r="207" spans="1:13" hidden="1" x14ac:dyDescent="0.35">
      <c r="A207" t="s">
        <v>375</v>
      </c>
      <c r="B207">
        <v>49</v>
      </c>
      <c r="C207" s="4" t="s">
        <v>51</v>
      </c>
      <c r="D207">
        <v>4264.46</v>
      </c>
      <c r="E207">
        <v>4315.5200000000004</v>
      </c>
      <c r="F207" t="s">
        <v>46</v>
      </c>
      <c r="G207" s="30">
        <v>7.0000000000000007E-2</v>
      </c>
      <c r="H207" t="s">
        <v>26</v>
      </c>
      <c r="I207" t="s">
        <v>34</v>
      </c>
      <c r="J207" t="s">
        <v>35</v>
      </c>
      <c r="K207">
        <f>B207*E207*(1-G207)</f>
        <v>196658.2464</v>
      </c>
      <c r="L207">
        <f>D207*B207</f>
        <v>208958.54</v>
      </c>
      <c r="M207">
        <f>K207-L207</f>
        <v>-12300.293600000005</v>
      </c>
    </row>
    <row r="208" spans="1:13" x14ac:dyDescent="0.35">
      <c r="A208" t="s">
        <v>208</v>
      </c>
      <c r="B208">
        <v>37</v>
      </c>
      <c r="C208" s="4" t="s">
        <v>51</v>
      </c>
      <c r="D208">
        <v>407.77</v>
      </c>
      <c r="E208">
        <v>860.95</v>
      </c>
      <c r="F208" t="s">
        <v>46</v>
      </c>
      <c r="G208" s="30">
        <v>0.1</v>
      </c>
      <c r="H208" t="s">
        <v>47</v>
      </c>
      <c r="I208" t="s">
        <v>34</v>
      </c>
      <c r="J208" t="s">
        <v>28</v>
      </c>
      <c r="K208">
        <f>B208*E208*(1-G208)</f>
        <v>28669.635000000002</v>
      </c>
      <c r="L208">
        <f>D208*B208</f>
        <v>15087.49</v>
      </c>
      <c r="M208">
        <f>K208-L208</f>
        <v>13582.145000000002</v>
      </c>
    </row>
    <row r="209" spans="1:13" hidden="1" x14ac:dyDescent="0.35">
      <c r="A209" t="s">
        <v>446</v>
      </c>
      <c r="B209">
        <v>8</v>
      </c>
      <c r="C209" s="4" t="s">
        <v>45</v>
      </c>
      <c r="D209">
        <v>3762.27</v>
      </c>
      <c r="E209">
        <v>4166.95</v>
      </c>
      <c r="F209" t="s">
        <v>25</v>
      </c>
      <c r="G209" s="30">
        <v>0.16</v>
      </c>
      <c r="H209" t="s">
        <v>40</v>
      </c>
      <c r="I209" t="s">
        <v>27</v>
      </c>
      <c r="J209" t="s">
        <v>28</v>
      </c>
      <c r="K209">
        <f>B209*E209*(1-G209)</f>
        <v>28001.903999999999</v>
      </c>
      <c r="L209">
        <f>D209*B209</f>
        <v>30098.16</v>
      </c>
      <c r="M209">
        <f>K209-L209</f>
        <v>-2096.2560000000012</v>
      </c>
    </row>
    <row r="210" spans="1:13" hidden="1" x14ac:dyDescent="0.35">
      <c r="A210" t="s">
        <v>378</v>
      </c>
      <c r="B210">
        <v>5</v>
      </c>
      <c r="C210" s="4" t="s">
        <v>24</v>
      </c>
      <c r="D210">
        <v>3417.9</v>
      </c>
      <c r="E210">
        <v>3714.52</v>
      </c>
      <c r="F210" t="s">
        <v>25</v>
      </c>
      <c r="G210" s="30">
        <v>0.27</v>
      </c>
      <c r="H210" t="s">
        <v>47</v>
      </c>
      <c r="I210" t="s">
        <v>27</v>
      </c>
      <c r="J210" t="s">
        <v>35</v>
      </c>
      <c r="K210">
        <f>B210*E210*(1-G210)</f>
        <v>13557.997999999998</v>
      </c>
      <c r="L210">
        <f>D210*B210</f>
        <v>17089.5</v>
      </c>
      <c r="M210">
        <f>K210-L210</f>
        <v>-3531.5020000000022</v>
      </c>
    </row>
    <row r="211" spans="1:13" hidden="1" x14ac:dyDescent="0.35">
      <c r="A211" t="s">
        <v>379</v>
      </c>
      <c r="B211">
        <v>45</v>
      </c>
      <c r="C211" s="4" t="s">
        <v>45</v>
      </c>
      <c r="D211">
        <v>1406.9</v>
      </c>
      <c r="E211">
        <v>1547.35</v>
      </c>
      <c r="F211" t="s">
        <v>46</v>
      </c>
      <c r="G211" s="30">
        <v>0.17</v>
      </c>
      <c r="H211" t="s">
        <v>26</v>
      </c>
      <c r="I211" t="s">
        <v>27</v>
      </c>
      <c r="J211" t="s">
        <v>41</v>
      </c>
      <c r="K211">
        <f>B211*E211*(1-G211)</f>
        <v>57793.522499999999</v>
      </c>
      <c r="L211">
        <f>D211*B211</f>
        <v>63310.500000000007</v>
      </c>
      <c r="M211">
        <f>K211-L211</f>
        <v>-5516.9775000000081</v>
      </c>
    </row>
    <row r="212" spans="1:13" x14ac:dyDescent="0.35">
      <c r="A212" t="s">
        <v>306</v>
      </c>
      <c r="B212">
        <v>47</v>
      </c>
      <c r="C212" s="4" t="s">
        <v>45</v>
      </c>
      <c r="D212">
        <v>359.41</v>
      </c>
      <c r="E212">
        <v>733</v>
      </c>
      <c r="F212" t="s">
        <v>25</v>
      </c>
      <c r="G212" s="30">
        <v>0.2</v>
      </c>
      <c r="H212" t="s">
        <v>40</v>
      </c>
      <c r="I212" t="s">
        <v>34</v>
      </c>
      <c r="J212" t="s">
        <v>28</v>
      </c>
      <c r="K212">
        <f>B212*E212*(1-G212)</f>
        <v>27560.800000000003</v>
      </c>
      <c r="L212">
        <f>D212*B212</f>
        <v>16892.27</v>
      </c>
      <c r="M212">
        <f>K212-L212</f>
        <v>10668.530000000002</v>
      </c>
    </row>
    <row r="213" spans="1:13" hidden="1" x14ac:dyDescent="0.35">
      <c r="A213" t="s">
        <v>383</v>
      </c>
      <c r="B213">
        <v>45</v>
      </c>
      <c r="C213" s="4" t="s">
        <v>45</v>
      </c>
      <c r="D213">
        <v>3712.35</v>
      </c>
      <c r="E213">
        <v>3780.88</v>
      </c>
      <c r="F213" t="s">
        <v>46</v>
      </c>
      <c r="G213" s="30">
        <v>7.0000000000000007E-2</v>
      </c>
      <c r="H213" t="s">
        <v>26</v>
      </c>
      <c r="I213" t="s">
        <v>27</v>
      </c>
      <c r="J213" t="s">
        <v>41</v>
      </c>
      <c r="K213">
        <f>B213*E213*(1-G213)</f>
        <v>158229.82800000001</v>
      </c>
      <c r="L213">
        <f>D213*B213</f>
        <v>167055.75</v>
      </c>
      <c r="M213">
        <f>K213-L213</f>
        <v>-8825.9219999999914</v>
      </c>
    </row>
    <row r="214" spans="1:13" hidden="1" x14ac:dyDescent="0.35">
      <c r="A214" t="s">
        <v>245</v>
      </c>
      <c r="B214">
        <v>8</v>
      </c>
      <c r="C214" s="4" t="s">
        <v>51</v>
      </c>
      <c r="D214">
        <v>3657.91</v>
      </c>
      <c r="E214">
        <v>3729.27</v>
      </c>
      <c r="F214" t="s">
        <v>46</v>
      </c>
      <c r="G214" s="30">
        <v>0.09</v>
      </c>
      <c r="H214" t="s">
        <v>40</v>
      </c>
      <c r="I214" t="s">
        <v>27</v>
      </c>
      <c r="J214" t="s">
        <v>28</v>
      </c>
      <c r="K214">
        <f>B214*E214*(1-G214)</f>
        <v>27149.085600000002</v>
      </c>
      <c r="L214">
        <f>D214*B214</f>
        <v>29263.279999999999</v>
      </c>
      <c r="M214">
        <f>K214-L214</f>
        <v>-2114.1943999999967</v>
      </c>
    </row>
    <row r="215" spans="1:13" hidden="1" x14ac:dyDescent="0.35">
      <c r="A215" t="s">
        <v>373</v>
      </c>
      <c r="B215">
        <v>25</v>
      </c>
      <c r="C215" s="4" t="s">
        <v>39</v>
      </c>
      <c r="D215">
        <v>1074.6199999999999</v>
      </c>
      <c r="E215">
        <v>1382.43</v>
      </c>
      <c r="F215" t="s">
        <v>25</v>
      </c>
      <c r="G215" s="30">
        <v>0.24</v>
      </c>
      <c r="H215" t="s">
        <v>47</v>
      </c>
      <c r="I215" t="s">
        <v>27</v>
      </c>
      <c r="J215" t="s">
        <v>28</v>
      </c>
      <c r="K215">
        <f>B215*E215*(1-G215)</f>
        <v>26266.170000000002</v>
      </c>
      <c r="L215">
        <f>D215*B215</f>
        <v>26865.499999999996</v>
      </c>
      <c r="M215">
        <f>K215-L215</f>
        <v>-599.32999999999447</v>
      </c>
    </row>
    <row r="216" spans="1:13" hidden="1" x14ac:dyDescent="0.35">
      <c r="A216" t="s">
        <v>279</v>
      </c>
      <c r="B216">
        <v>26</v>
      </c>
      <c r="C216" s="4" t="s">
        <v>45</v>
      </c>
      <c r="D216">
        <v>992.17</v>
      </c>
      <c r="E216">
        <v>1263.49</v>
      </c>
      <c r="F216" t="s">
        <v>25</v>
      </c>
      <c r="G216" s="30">
        <v>0.25</v>
      </c>
      <c r="H216" t="s">
        <v>40</v>
      </c>
      <c r="I216" t="s">
        <v>34</v>
      </c>
      <c r="J216" t="s">
        <v>28</v>
      </c>
      <c r="K216">
        <f>B216*E216*(1-G216)</f>
        <v>24638.055</v>
      </c>
      <c r="L216">
        <f>D216*B216</f>
        <v>25796.42</v>
      </c>
      <c r="M216">
        <f>K216-L216</f>
        <v>-1158.364999999998</v>
      </c>
    </row>
    <row r="217" spans="1:13" hidden="1" x14ac:dyDescent="0.35">
      <c r="A217" t="s">
        <v>468</v>
      </c>
      <c r="B217">
        <v>15</v>
      </c>
      <c r="C217" s="4" t="s">
        <v>45</v>
      </c>
      <c r="D217">
        <v>1719.47</v>
      </c>
      <c r="E217">
        <v>1832.6</v>
      </c>
      <c r="F217" t="s">
        <v>25</v>
      </c>
      <c r="G217" s="30">
        <v>0.12</v>
      </c>
      <c r="H217" t="s">
        <v>47</v>
      </c>
      <c r="I217" t="s">
        <v>27</v>
      </c>
      <c r="J217" t="s">
        <v>28</v>
      </c>
      <c r="K217">
        <f>B217*E217*(1-G217)</f>
        <v>24190.32</v>
      </c>
      <c r="L217">
        <f>D217*B217</f>
        <v>25792.05</v>
      </c>
      <c r="M217">
        <f>K217-L217</f>
        <v>-1601.7299999999996</v>
      </c>
    </row>
    <row r="218" spans="1:13" hidden="1" x14ac:dyDescent="0.35">
      <c r="A218" t="s">
        <v>389</v>
      </c>
      <c r="B218">
        <v>48</v>
      </c>
      <c r="C218" s="4" t="s">
        <v>45</v>
      </c>
      <c r="D218">
        <v>2614.48</v>
      </c>
      <c r="E218">
        <v>3049.04</v>
      </c>
      <c r="F218" t="s">
        <v>46</v>
      </c>
      <c r="G218" s="30">
        <v>0.1</v>
      </c>
      <c r="H218" t="s">
        <v>47</v>
      </c>
      <c r="I218" t="s">
        <v>34</v>
      </c>
      <c r="J218" t="s">
        <v>41</v>
      </c>
      <c r="K218">
        <f>B218*E218*(1-G218)</f>
        <v>131718.52799999999</v>
      </c>
      <c r="L218">
        <f>D218*B218</f>
        <v>125495.04000000001</v>
      </c>
      <c r="M218">
        <f>K218-L218</f>
        <v>6223.487999999983</v>
      </c>
    </row>
    <row r="219" spans="1:13" hidden="1" x14ac:dyDescent="0.35">
      <c r="A219" t="s">
        <v>391</v>
      </c>
      <c r="B219">
        <v>2</v>
      </c>
      <c r="C219" s="4" t="s">
        <v>24</v>
      </c>
      <c r="D219">
        <v>3752.68</v>
      </c>
      <c r="E219">
        <v>4017.91</v>
      </c>
      <c r="F219" t="s">
        <v>25</v>
      </c>
      <c r="G219" s="30">
        <v>0.16</v>
      </c>
      <c r="H219" t="s">
        <v>40</v>
      </c>
      <c r="I219" t="s">
        <v>27</v>
      </c>
      <c r="J219" t="s">
        <v>41</v>
      </c>
      <c r="K219">
        <f>B219*E219*(1-G219)</f>
        <v>6750.0887999999995</v>
      </c>
      <c r="L219">
        <f>D219*B219</f>
        <v>7505.36</v>
      </c>
      <c r="M219">
        <f>K219-L219</f>
        <v>-755.27120000000014</v>
      </c>
    </row>
    <row r="220" spans="1:13" x14ac:dyDescent="0.35">
      <c r="A220" t="s">
        <v>385</v>
      </c>
      <c r="B220">
        <v>29</v>
      </c>
      <c r="C220" s="4" t="s">
        <v>24</v>
      </c>
      <c r="D220">
        <v>639.58000000000004</v>
      </c>
      <c r="E220">
        <v>1107.45</v>
      </c>
      <c r="F220" t="s">
        <v>46</v>
      </c>
      <c r="G220" s="30">
        <v>0.28999999999999998</v>
      </c>
      <c r="H220" t="s">
        <v>26</v>
      </c>
      <c r="I220" t="s">
        <v>34</v>
      </c>
      <c r="J220" t="s">
        <v>28</v>
      </c>
      <c r="K220">
        <f>B220*E220*(1-G220)</f>
        <v>22802.395500000002</v>
      </c>
      <c r="L220">
        <f>D220*B220</f>
        <v>18547.82</v>
      </c>
      <c r="M220">
        <f>K220-L220</f>
        <v>4254.5755000000026</v>
      </c>
    </row>
    <row r="221" spans="1:13" x14ac:dyDescent="0.35">
      <c r="A221" t="s">
        <v>377</v>
      </c>
      <c r="B221">
        <v>11</v>
      </c>
      <c r="C221" s="4" t="s">
        <v>45</v>
      </c>
      <c r="D221">
        <v>1812.66</v>
      </c>
      <c r="E221">
        <v>2196.3000000000002</v>
      </c>
      <c r="F221" t="s">
        <v>46</v>
      </c>
      <c r="G221" s="30">
        <v>0.08</v>
      </c>
      <c r="H221" t="s">
        <v>26</v>
      </c>
      <c r="I221" t="s">
        <v>27</v>
      </c>
      <c r="J221" t="s">
        <v>28</v>
      </c>
      <c r="K221">
        <f>B221*E221*(1-G221)</f>
        <v>22226.556000000004</v>
      </c>
      <c r="L221">
        <f>D221*B221</f>
        <v>19939.260000000002</v>
      </c>
      <c r="M221">
        <f>K221-L221</f>
        <v>2287.2960000000021</v>
      </c>
    </row>
    <row r="222" spans="1:13" hidden="1" x14ac:dyDescent="0.35">
      <c r="A222" t="s">
        <v>395</v>
      </c>
      <c r="B222">
        <v>30</v>
      </c>
      <c r="C222" s="4" t="s">
        <v>45</v>
      </c>
      <c r="D222">
        <v>4646.55</v>
      </c>
      <c r="E222">
        <v>5384.28</v>
      </c>
      <c r="F222" t="s">
        <v>25</v>
      </c>
      <c r="G222" s="30">
        <v>0.1</v>
      </c>
      <c r="H222" t="s">
        <v>47</v>
      </c>
      <c r="I222" t="s">
        <v>27</v>
      </c>
      <c r="J222" t="s">
        <v>41</v>
      </c>
      <c r="K222">
        <f>B222*E222*(1-G222)</f>
        <v>145375.56</v>
      </c>
      <c r="L222">
        <f>D222*B222</f>
        <v>139396.5</v>
      </c>
      <c r="M222">
        <f>K222-L222</f>
        <v>5979.0599999999977</v>
      </c>
    </row>
    <row r="223" spans="1:13" hidden="1" x14ac:dyDescent="0.35">
      <c r="A223" t="s">
        <v>397</v>
      </c>
      <c r="B223">
        <v>11</v>
      </c>
      <c r="C223" s="4" t="s">
        <v>39</v>
      </c>
      <c r="D223">
        <v>3706.78</v>
      </c>
      <c r="E223">
        <v>3862.26</v>
      </c>
      <c r="F223" t="s">
        <v>46</v>
      </c>
      <c r="G223" s="30">
        <v>0.22</v>
      </c>
      <c r="H223" t="s">
        <v>47</v>
      </c>
      <c r="I223" t="s">
        <v>34</v>
      </c>
      <c r="J223" t="s">
        <v>35</v>
      </c>
      <c r="K223">
        <f>B223*E223*(1-G223)</f>
        <v>33138.190800000004</v>
      </c>
      <c r="L223">
        <f>D223*B223</f>
        <v>40774.58</v>
      </c>
      <c r="M223">
        <f>K223-L223</f>
        <v>-7636.3891999999978</v>
      </c>
    </row>
    <row r="224" spans="1:13" hidden="1" x14ac:dyDescent="0.35">
      <c r="A224" t="s">
        <v>398</v>
      </c>
      <c r="B224">
        <v>28</v>
      </c>
      <c r="C224" s="4" t="s">
        <v>45</v>
      </c>
      <c r="D224">
        <v>1566.03</v>
      </c>
      <c r="E224">
        <v>1576.34</v>
      </c>
      <c r="F224" t="s">
        <v>25</v>
      </c>
      <c r="G224" s="30">
        <v>0.2</v>
      </c>
      <c r="H224" t="s">
        <v>40</v>
      </c>
      <c r="I224" t="s">
        <v>34</v>
      </c>
      <c r="J224" t="s">
        <v>35</v>
      </c>
      <c r="K224">
        <f>B224*E224*(1-G224)</f>
        <v>35310.015999999996</v>
      </c>
      <c r="L224">
        <f>D224*B224</f>
        <v>43848.84</v>
      </c>
      <c r="M224">
        <f>K224-L224</f>
        <v>-8538.8240000000005</v>
      </c>
    </row>
    <row r="225" spans="1:13" hidden="1" x14ac:dyDescent="0.35">
      <c r="A225" t="s">
        <v>399</v>
      </c>
      <c r="B225">
        <v>44</v>
      </c>
      <c r="C225" s="4" t="s">
        <v>51</v>
      </c>
      <c r="D225">
        <v>1362.15</v>
      </c>
      <c r="E225">
        <v>1844.07</v>
      </c>
      <c r="F225" t="s">
        <v>46</v>
      </c>
      <c r="G225" s="30">
        <v>0.28999999999999998</v>
      </c>
      <c r="H225" t="s">
        <v>47</v>
      </c>
      <c r="I225" t="s">
        <v>27</v>
      </c>
      <c r="J225" t="s">
        <v>41</v>
      </c>
      <c r="K225">
        <f>B225*E225*(1-G225)</f>
        <v>57608.746800000001</v>
      </c>
      <c r="L225">
        <f>D225*B225</f>
        <v>59934.600000000006</v>
      </c>
      <c r="M225">
        <f>K225-L225</f>
        <v>-2325.853200000005</v>
      </c>
    </row>
    <row r="226" spans="1:13" hidden="1" x14ac:dyDescent="0.35">
      <c r="A226" t="s">
        <v>475</v>
      </c>
      <c r="B226">
        <v>6</v>
      </c>
      <c r="C226" s="4" t="s">
        <v>24</v>
      </c>
      <c r="D226">
        <v>3763.26</v>
      </c>
      <c r="E226">
        <v>4102.72</v>
      </c>
      <c r="F226" t="s">
        <v>46</v>
      </c>
      <c r="G226" s="30">
        <v>0.11</v>
      </c>
      <c r="H226" t="s">
        <v>47</v>
      </c>
      <c r="I226" t="s">
        <v>27</v>
      </c>
      <c r="J226" t="s">
        <v>28</v>
      </c>
      <c r="K226">
        <f>B226*E226*(1-G226)</f>
        <v>21908.524799999999</v>
      </c>
      <c r="L226">
        <f>D226*B226</f>
        <v>22579.56</v>
      </c>
      <c r="M226">
        <f>K226-L226</f>
        <v>-671.03520000000208</v>
      </c>
    </row>
    <row r="227" spans="1:13" hidden="1" x14ac:dyDescent="0.35">
      <c r="A227" t="s">
        <v>297</v>
      </c>
      <c r="B227">
        <v>15</v>
      </c>
      <c r="C227" s="4" t="s">
        <v>51</v>
      </c>
      <c r="D227">
        <v>1729.14</v>
      </c>
      <c r="E227">
        <v>1870.88</v>
      </c>
      <c r="F227" t="s">
        <v>25</v>
      </c>
      <c r="G227" s="30">
        <v>0.23</v>
      </c>
      <c r="H227" t="s">
        <v>26</v>
      </c>
      <c r="I227" t="s">
        <v>34</v>
      </c>
      <c r="J227" t="s">
        <v>28</v>
      </c>
      <c r="K227">
        <f>B227*E227*(1-G227)</f>
        <v>21608.664000000001</v>
      </c>
      <c r="L227">
        <f>D227*B227</f>
        <v>25937.100000000002</v>
      </c>
      <c r="M227">
        <f>K227-L227</f>
        <v>-4328.4360000000015</v>
      </c>
    </row>
    <row r="228" spans="1:13" hidden="1" x14ac:dyDescent="0.35">
      <c r="A228" t="s">
        <v>405</v>
      </c>
      <c r="B228">
        <v>26</v>
      </c>
      <c r="C228" s="4" t="s">
        <v>39</v>
      </c>
      <c r="D228">
        <v>508.94</v>
      </c>
      <c r="E228">
        <v>557.69000000000005</v>
      </c>
      <c r="F228" t="s">
        <v>46</v>
      </c>
      <c r="G228" s="30">
        <v>0.22</v>
      </c>
      <c r="H228" t="s">
        <v>47</v>
      </c>
      <c r="I228" t="s">
        <v>27</v>
      </c>
      <c r="J228" t="s">
        <v>35</v>
      </c>
      <c r="K228">
        <f>B228*E228*(1-G228)</f>
        <v>11309.953200000002</v>
      </c>
      <c r="L228">
        <f>D228*B228</f>
        <v>13232.44</v>
      </c>
      <c r="M228">
        <f>K228-L228</f>
        <v>-1922.4867999999988</v>
      </c>
    </row>
    <row r="229" spans="1:13" hidden="1" x14ac:dyDescent="0.35">
      <c r="A229" t="s">
        <v>406</v>
      </c>
      <c r="B229">
        <v>13</v>
      </c>
      <c r="C229" s="4" t="s">
        <v>45</v>
      </c>
      <c r="D229">
        <v>2684.5</v>
      </c>
      <c r="E229">
        <v>2913.78</v>
      </c>
      <c r="F229" t="s">
        <v>46</v>
      </c>
      <c r="G229" s="30">
        <v>0.08</v>
      </c>
      <c r="H229" t="s">
        <v>47</v>
      </c>
      <c r="I229" t="s">
        <v>27</v>
      </c>
      <c r="J229" t="s">
        <v>35</v>
      </c>
      <c r="K229">
        <f>B229*E229*(1-G229)</f>
        <v>34848.808799999999</v>
      </c>
      <c r="L229">
        <f>D229*B229</f>
        <v>34898.5</v>
      </c>
      <c r="M229">
        <f>K229-L229</f>
        <v>-49.691200000001118</v>
      </c>
    </row>
    <row r="230" spans="1:13" hidden="1" x14ac:dyDescent="0.35">
      <c r="A230" t="s">
        <v>407</v>
      </c>
      <c r="B230">
        <v>8</v>
      </c>
      <c r="C230" s="4" t="s">
        <v>39</v>
      </c>
      <c r="D230">
        <v>4117.13</v>
      </c>
      <c r="E230">
        <v>4177.0600000000004</v>
      </c>
      <c r="F230" t="s">
        <v>25</v>
      </c>
      <c r="G230" s="30">
        <v>0.25</v>
      </c>
      <c r="H230" t="s">
        <v>40</v>
      </c>
      <c r="I230" t="s">
        <v>27</v>
      </c>
      <c r="J230" t="s">
        <v>41</v>
      </c>
      <c r="K230">
        <f>B230*E230*(1-G230)</f>
        <v>25062.36</v>
      </c>
      <c r="L230">
        <f>D230*B230</f>
        <v>32937.040000000001</v>
      </c>
      <c r="M230">
        <f>K230-L230</f>
        <v>-7874.68</v>
      </c>
    </row>
    <row r="231" spans="1:13" hidden="1" x14ac:dyDescent="0.35">
      <c r="A231" t="s">
        <v>408</v>
      </c>
      <c r="B231">
        <v>28</v>
      </c>
      <c r="C231" s="4" t="s">
        <v>45</v>
      </c>
      <c r="D231">
        <v>551.83000000000004</v>
      </c>
      <c r="E231">
        <v>569.63</v>
      </c>
      <c r="F231" t="s">
        <v>46</v>
      </c>
      <c r="G231" s="30">
        <v>0.13</v>
      </c>
      <c r="H231" t="s">
        <v>47</v>
      </c>
      <c r="I231" t="s">
        <v>34</v>
      </c>
      <c r="J231" t="s">
        <v>35</v>
      </c>
      <c r="K231">
        <f>B231*E231*(1-G231)</f>
        <v>13876.186799999999</v>
      </c>
      <c r="L231">
        <f>D231*B231</f>
        <v>15451.240000000002</v>
      </c>
      <c r="M231">
        <f>K231-L231</f>
        <v>-1575.0532000000021</v>
      </c>
    </row>
    <row r="232" spans="1:13" hidden="1" x14ac:dyDescent="0.35">
      <c r="A232" t="s">
        <v>409</v>
      </c>
      <c r="B232">
        <v>30</v>
      </c>
      <c r="C232" s="4" t="s">
        <v>51</v>
      </c>
      <c r="D232">
        <v>3969.86</v>
      </c>
      <c r="E232">
        <v>4281.79</v>
      </c>
      <c r="F232" t="s">
        <v>25</v>
      </c>
      <c r="G232" s="30">
        <v>0.08</v>
      </c>
      <c r="H232" t="s">
        <v>40</v>
      </c>
      <c r="I232" t="s">
        <v>34</v>
      </c>
      <c r="J232" t="s">
        <v>41</v>
      </c>
      <c r="K232">
        <f>B232*E232*(1-G232)</f>
        <v>118177.40400000001</v>
      </c>
      <c r="L232">
        <f>D232*B232</f>
        <v>119095.8</v>
      </c>
      <c r="M232">
        <f>K232-L232</f>
        <v>-918.39599999999336</v>
      </c>
    </row>
    <row r="233" spans="1:13" hidden="1" x14ac:dyDescent="0.35">
      <c r="A233" t="s">
        <v>410</v>
      </c>
      <c r="B233">
        <v>9</v>
      </c>
      <c r="C233" s="4" t="s">
        <v>39</v>
      </c>
      <c r="D233">
        <v>4067.28</v>
      </c>
      <c r="E233">
        <v>4548.09</v>
      </c>
      <c r="F233" t="s">
        <v>25</v>
      </c>
      <c r="G233" s="30">
        <v>0.12</v>
      </c>
      <c r="H233" t="s">
        <v>47</v>
      </c>
      <c r="I233" t="s">
        <v>27</v>
      </c>
      <c r="J233" t="s">
        <v>35</v>
      </c>
      <c r="K233">
        <f>B233*E233*(1-G233)</f>
        <v>36020.872799999997</v>
      </c>
      <c r="L233">
        <f>D233*B233</f>
        <v>36605.520000000004</v>
      </c>
      <c r="M233">
        <f>K233-L233</f>
        <v>-584.64720000000671</v>
      </c>
    </row>
    <row r="234" spans="1:13" hidden="1" x14ac:dyDescent="0.35">
      <c r="A234" t="s">
        <v>412</v>
      </c>
      <c r="B234">
        <v>39</v>
      </c>
      <c r="C234" s="4" t="s">
        <v>39</v>
      </c>
      <c r="D234">
        <v>2437.2600000000002</v>
      </c>
      <c r="E234">
        <v>2889.67</v>
      </c>
      <c r="F234" t="s">
        <v>25</v>
      </c>
      <c r="G234" s="30">
        <v>0.25</v>
      </c>
      <c r="H234" t="s">
        <v>26</v>
      </c>
      <c r="I234" t="s">
        <v>34</v>
      </c>
      <c r="J234" t="s">
        <v>35</v>
      </c>
      <c r="K234">
        <f>B234*E234*(1-G234)</f>
        <v>84522.847500000003</v>
      </c>
      <c r="L234">
        <f>D234*B234</f>
        <v>95053.140000000014</v>
      </c>
      <c r="M234">
        <f>K234-L234</f>
        <v>-10530.29250000001</v>
      </c>
    </row>
    <row r="235" spans="1:13" hidden="1" x14ac:dyDescent="0.35">
      <c r="A235" t="s">
        <v>413</v>
      </c>
      <c r="B235">
        <v>31</v>
      </c>
      <c r="C235" s="4" t="s">
        <v>39</v>
      </c>
      <c r="D235">
        <v>333.69</v>
      </c>
      <c r="E235">
        <v>685.1</v>
      </c>
      <c r="F235" t="s">
        <v>46</v>
      </c>
      <c r="G235" s="30">
        <v>0.04</v>
      </c>
      <c r="H235" t="s">
        <v>40</v>
      </c>
      <c r="I235" t="s">
        <v>27</v>
      </c>
      <c r="J235" t="s">
        <v>35</v>
      </c>
      <c r="K235">
        <f>B235*E235*(1-G235)</f>
        <v>20388.576000000001</v>
      </c>
      <c r="L235">
        <f>D235*B235</f>
        <v>10344.39</v>
      </c>
      <c r="M235">
        <f>K235-L235</f>
        <v>10044.186000000002</v>
      </c>
    </row>
    <row r="236" spans="1:13" hidden="1" x14ac:dyDescent="0.35">
      <c r="A236" t="s">
        <v>458</v>
      </c>
      <c r="B236">
        <v>14</v>
      </c>
      <c r="C236" s="4" t="s">
        <v>45</v>
      </c>
      <c r="D236">
        <v>1614.19</v>
      </c>
      <c r="E236">
        <v>1882.79</v>
      </c>
      <c r="F236" t="s">
        <v>46</v>
      </c>
      <c r="G236" s="30">
        <v>0.25</v>
      </c>
      <c r="H236" t="s">
        <v>47</v>
      </c>
      <c r="I236" t="s">
        <v>34</v>
      </c>
      <c r="J236" t="s">
        <v>28</v>
      </c>
      <c r="K236">
        <f>B236*E236*(1-G236)</f>
        <v>19769.294999999998</v>
      </c>
      <c r="L236">
        <f>D236*B236</f>
        <v>22598.66</v>
      </c>
      <c r="M236">
        <f>K236-L236</f>
        <v>-2829.3650000000016</v>
      </c>
    </row>
    <row r="237" spans="1:13" hidden="1" x14ac:dyDescent="0.35">
      <c r="A237" t="s">
        <v>470</v>
      </c>
      <c r="B237">
        <v>13</v>
      </c>
      <c r="C237" s="4" t="s">
        <v>51</v>
      </c>
      <c r="D237">
        <v>1442.69</v>
      </c>
      <c r="E237">
        <v>1882.57</v>
      </c>
      <c r="F237" t="s">
        <v>25</v>
      </c>
      <c r="G237" s="30">
        <v>0.28000000000000003</v>
      </c>
      <c r="H237" t="s">
        <v>26</v>
      </c>
      <c r="I237" t="s">
        <v>27</v>
      </c>
      <c r="J237" t="s">
        <v>28</v>
      </c>
      <c r="K237">
        <f>B237*E237*(1-G237)</f>
        <v>17620.855199999998</v>
      </c>
      <c r="L237">
        <f>D237*B237</f>
        <v>18754.97</v>
      </c>
      <c r="M237">
        <f>K237-L237</f>
        <v>-1134.114800000003</v>
      </c>
    </row>
    <row r="238" spans="1:13" hidden="1" x14ac:dyDescent="0.35">
      <c r="A238" t="s">
        <v>414</v>
      </c>
      <c r="B238">
        <v>21</v>
      </c>
      <c r="C238" s="4" t="s">
        <v>39</v>
      </c>
      <c r="D238">
        <v>914.22</v>
      </c>
      <c r="E238">
        <v>971.57</v>
      </c>
      <c r="F238" t="s">
        <v>25</v>
      </c>
      <c r="G238" s="30">
        <v>0.14000000000000001</v>
      </c>
      <c r="H238" t="s">
        <v>26</v>
      </c>
      <c r="I238" t="s">
        <v>27</v>
      </c>
      <c r="J238" t="s">
        <v>28</v>
      </c>
      <c r="K238">
        <f>B238*E238*(1-G238)</f>
        <v>17546.554200000002</v>
      </c>
      <c r="L238">
        <f>D238*B238</f>
        <v>19198.62</v>
      </c>
      <c r="M238">
        <f>K238-L238</f>
        <v>-1652.0657999999967</v>
      </c>
    </row>
    <row r="239" spans="1:13" hidden="1" x14ac:dyDescent="0.35">
      <c r="A239" t="s">
        <v>418</v>
      </c>
      <c r="B239">
        <v>31</v>
      </c>
      <c r="C239" s="4" t="s">
        <v>24</v>
      </c>
      <c r="D239">
        <v>4496.8599999999997</v>
      </c>
      <c r="E239">
        <v>4880.8</v>
      </c>
      <c r="F239" t="s">
        <v>46</v>
      </c>
      <c r="G239" s="30">
        <v>0.06</v>
      </c>
      <c r="H239" t="s">
        <v>26</v>
      </c>
      <c r="I239" t="s">
        <v>34</v>
      </c>
      <c r="J239" t="s">
        <v>35</v>
      </c>
      <c r="K239">
        <f>B239*E239*(1-G239)</f>
        <v>142226.51200000002</v>
      </c>
      <c r="L239">
        <f>D239*B239</f>
        <v>139402.66</v>
      </c>
      <c r="M239">
        <f>K239-L239</f>
        <v>2823.8520000000135</v>
      </c>
    </row>
    <row r="240" spans="1:13" hidden="1" x14ac:dyDescent="0.35">
      <c r="A240" t="s">
        <v>419</v>
      </c>
      <c r="B240">
        <v>25</v>
      </c>
      <c r="C240" s="4" t="s">
        <v>51</v>
      </c>
      <c r="D240">
        <v>2934.3</v>
      </c>
      <c r="E240">
        <v>3937.4</v>
      </c>
      <c r="F240" t="s">
        <v>25</v>
      </c>
      <c r="G240" s="30">
        <v>0.25</v>
      </c>
      <c r="H240" t="s">
        <v>47</v>
      </c>
      <c r="I240" t="s">
        <v>34</v>
      </c>
      <c r="J240" t="s">
        <v>41</v>
      </c>
      <c r="K240">
        <f>B240*E240*(1-G240)</f>
        <v>73826.25</v>
      </c>
      <c r="L240">
        <f>D240*B240</f>
        <v>73357.5</v>
      </c>
      <c r="M240">
        <f>K240-L240</f>
        <v>468.75</v>
      </c>
    </row>
    <row r="241" spans="1:13" hidden="1" x14ac:dyDescent="0.35">
      <c r="A241" t="s">
        <v>421</v>
      </c>
      <c r="B241">
        <v>12</v>
      </c>
      <c r="C241" s="4" t="s">
        <v>24</v>
      </c>
      <c r="D241">
        <v>664.33</v>
      </c>
      <c r="E241">
        <v>863.03</v>
      </c>
      <c r="F241" t="s">
        <v>25</v>
      </c>
      <c r="G241" s="30">
        <v>0.25</v>
      </c>
      <c r="H241" t="s">
        <v>40</v>
      </c>
      <c r="I241" t="s">
        <v>27</v>
      </c>
      <c r="J241" t="s">
        <v>41</v>
      </c>
      <c r="K241">
        <f>B241*E241*(1-G241)</f>
        <v>7767.27</v>
      </c>
      <c r="L241">
        <f>D241*B241</f>
        <v>7971.9600000000009</v>
      </c>
      <c r="M241">
        <f>K241-L241</f>
        <v>-204.69000000000051</v>
      </c>
    </row>
    <row r="242" spans="1:13" hidden="1" x14ac:dyDescent="0.35">
      <c r="A242" t="s">
        <v>422</v>
      </c>
      <c r="B242">
        <v>1</v>
      </c>
      <c r="C242" s="4" t="s">
        <v>39</v>
      </c>
      <c r="D242">
        <v>651</v>
      </c>
      <c r="E242">
        <v>865.76</v>
      </c>
      <c r="F242" t="s">
        <v>25</v>
      </c>
      <c r="G242" s="30">
        <v>0.09</v>
      </c>
      <c r="H242" t="s">
        <v>40</v>
      </c>
      <c r="I242" t="s">
        <v>34</v>
      </c>
      <c r="J242" t="s">
        <v>41</v>
      </c>
      <c r="K242">
        <f>B242*E242*(1-G242)</f>
        <v>787.84159999999997</v>
      </c>
      <c r="L242">
        <f>D242*B242</f>
        <v>651</v>
      </c>
      <c r="M242">
        <f>K242-L242</f>
        <v>136.84159999999997</v>
      </c>
    </row>
    <row r="243" spans="1:13" hidden="1" x14ac:dyDescent="0.35">
      <c r="A243" t="s">
        <v>424</v>
      </c>
      <c r="B243">
        <v>22</v>
      </c>
      <c r="C243" s="4" t="s">
        <v>45</v>
      </c>
      <c r="D243">
        <v>3619.61</v>
      </c>
      <c r="E243">
        <v>4651.42</v>
      </c>
      <c r="F243" t="s">
        <v>25</v>
      </c>
      <c r="G243" s="30">
        <v>0.26</v>
      </c>
      <c r="H243" t="s">
        <v>40</v>
      </c>
      <c r="I243" t="s">
        <v>27</v>
      </c>
      <c r="J243" t="s">
        <v>41</v>
      </c>
      <c r="K243">
        <f>B243*E243*(1-G243)</f>
        <v>75725.117599999998</v>
      </c>
      <c r="L243">
        <f>D243*B243</f>
        <v>79631.42</v>
      </c>
      <c r="M243">
        <f>K243-L243</f>
        <v>-3906.3024000000005</v>
      </c>
    </row>
    <row r="244" spans="1:13" x14ac:dyDescent="0.35">
      <c r="A244" t="s">
        <v>388</v>
      </c>
      <c r="B244">
        <v>9</v>
      </c>
      <c r="C244" s="4" t="s">
        <v>51</v>
      </c>
      <c r="D244">
        <v>1468.05</v>
      </c>
      <c r="E244">
        <v>1838.21</v>
      </c>
      <c r="F244" t="s">
        <v>46</v>
      </c>
      <c r="G244" s="30">
        <v>0.15</v>
      </c>
      <c r="H244" t="s">
        <v>40</v>
      </c>
      <c r="I244" t="s">
        <v>27</v>
      </c>
      <c r="J244" t="s">
        <v>28</v>
      </c>
      <c r="K244">
        <f>B244*E244*(1-G244)</f>
        <v>14062.306499999999</v>
      </c>
      <c r="L244">
        <f>D244*B244</f>
        <v>13212.449999999999</v>
      </c>
      <c r="M244">
        <f>K244-L244</f>
        <v>849.85649999999987</v>
      </c>
    </row>
    <row r="245" spans="1:13" x14ac:dyDescent="0.35">
      <c r="A245" t="s">
        <v>492</v>
      </c>
      <c r="B245">
        <v>14</v>
      </c>
      <c r="C245" s="4" t="s">
        <v>39</v>
      </c>
      <c r="D245">
        <v>547.79</v>
      </c>
      <c r="E245">
        <v>958.76</v>
      </c>
      <c r="F245" t="s">
        <v>25</v>
      </c>
      <c r="G245" s="30">
        <v>7.0000000000000007E-2</v>
      </c>
      <c r="H245" t="s">
        <v>47</v>
      </c>
      <c r="I245" t="s">
        <v>34</v>
      </c>
      <c r="J245" t="s">
        <v>28</v>
      </c>
      <c r="K245">
        <f>B245*E245*(1-G245)</f>
        <v>12483.055199999999</v>
      </c>
      <c r="L245">
        <f>D245*B245</f>
        <v>7669.0599999999995</v>
      </c>
      <c r="M245">
        <f>K245-L245</f>
        <v>4813.9951999999994</v>
      </c>
    </row>
    <row r="246" spans="1:13" hidden="1" x14ac:dyDescent="0.35">
      <c r="A246" t="s">
        <v>427</v>
      </c>
      <c r="B246">
        <v>47</v>
      </c>
      <c r="C246" s="4" t="s">
        <v>24</v>
      </c>
      <c r="D246">
        <v>2461.6999999999998</v>
      </c>
      <c r="E246">
        <v>4529.0200000000004</v>
      </c>
      <c r="F246" t="s">
        <v>25</v>
      </c>
      <c r="G246" s="30">
        <v>0.22</v>
      </c>
      <c r="H246" t="s">
        <v>26</v>
      </c>
      <c r="I246" t="s">
        <v>34</v>
      </c>
      <c r="J246" t="s">
        <v>35</v>
      </c>
      <c r="K246">
        <f>B246*E246*(1-G246)</f>
        <v>166033.87320000003</v>
      </c>
      <c r="L246">
        <f>D246*B246</f>
        <v>115699.9</v>
      </c>
      <c r="M246">
        <f>K246-L246</f>
        <v>50333.973200000037</v>
      </c>
    </row>
    <row r="247" spans="1:13" hidden="1" x14ac:dyDescent="0.35">
      <c r="A247" t="s">
        <v>428</v>
      </c>
      <c r="B247">
        <v>1</v>
      </c>
      <c r="C247" s="4" t="s">
        <v>39</v>
      </c>
      <c r="D247">
        <v>172.59</v>
      </c>
      <c r="E247">
        <v>404.69</v>
      </c>
      <c r="F247" t="s">
        <v>25</v>
      </c>
      <c r="G247" s="30">
        <v>0.28999999999999998</v>
      </c>
      <c r="H247" t="s">
        <v>40</v>
      </c>
      <c r="I247" t="s">
        <v>27</v>
      </c>
      <c r="J247" t="s">
        <v>35</v>
      </c>
      <c r="K247">
        <f>B247*E247*(1-G247)</f>
        <v>287.32990000000001</v>
      </c>
      <c r="L247">
        <f>D247*B247</f>
        <v>172.59</v>
      </c>
      <c r="M247">
        <f>K247-L247</f>
        <v>114.73990000000001</v>
      </c>
    </row>
    <row r="248" spans="1:13" hidden="1" x14ac:dyDescent="0.35">
      <c r="A248" t="s">
        <v>429</v>
      </c>
      <c r="B248">
        <v>1</v>
      </c>
      <c r="C248" s="4" t="s">
        <v>39</v>
      </c>
      <c r="D248">
        <v>1281.6500000000001</v>
      </c>
      <c r="E248">
        <v>1709.71</v>
      </c>
      <c r="F248" t="s">
        <v>25</v>
      </c>
      <c r="G248" s="30">
        <v>0.14000000000000001</v>
      </c>
      <c r="H248" t="s">
        <v>47</v>
      </c>
      <c r="I248" t="s">
        <v>34</v>
      </c>
      <c r="J248" t="s">
        <v>41</v>
      </c>
      <c r="K248">
        <f>B248*E248*(1-G248)</f>
        <v>1470.3506</v>
      </c>
      <c r="L248">
        <f>D248*B248</f>
        <v>1281.6500000000001</v>
      </c>
      <c r="M248">
        <f>K248-L248</f>
        <v>188.70059999999989</v>
      </c>
    </row>
    <row r="249" spans="1:13" x14ac:dyDescent="0.35">
      <c r="A249" t="s">
        <v>343</v>
      </c>
      <c r="B249">
        <v>15</v>
      </c>
      <c r="C249" s="4" t="s">
        <v>51</v>
      </c>
      <c r="D249">
        <v>316.22000000000003</v>
      </c>
      <c r="E249">
        <v>799.04</v>
      </c>
      <c r="F249" t="s">
        <v>46</v>
      </c>
      <c r="G249" s="30">
        <v>0</v>
      </c>
      <c r="H249" t="s">
        <v>40</v>
      </c>
      <c r="I249" t="s">
        <v>34</v>
      </c>
      <c r="J249" t="s">
        <v>28</v>
      </c>
      <c r="K249">
        <f>B249*E249*(1-G249)</f>
        <v>11985.599999999999</v>
      </c>
      <c r="L249">
        <f>D249*B249</f>
        <v>4743.3</v>
      </c>
      <c r="M249">
        <f>K249-L249</f>
        <v>7242.2999999999984</v>
      </c>
    </row>
    <row r="250" spans="1:13" hidden="1" x14ac:dyDescent="0.35">
      <c r="A250" t="s">
        <v>433</v>
      </c>
      <c r="B250">
        <v>42</v>
      </c>
      <c r="C250" s="4" t="s">
        <v>45</v>
      </c>
      <c r="D250">
        <v>1434.2</v>
      </c>
      <c r="E250">
        <v>1482.88</v>
      </c>
      <c r="F250" t="s">
        <v>46</v>
      </c>
      <c r="G250" s="30">
        <v>0.28000000000000003</v>
      </c>
      <c r="H250" t="s">
        <v>47</v>
      </c>
      <c r="I250" t="s">
        <v>34</v>
      </c>
      <c r="J250" t="s">
        <v>41</v>
      </c>
      <c r="K250">
        <f>B250*E250*(1-G250)</f>
        <v>44842.2912</v>
      </c>
      <c r="L250">
        <f>D250*B250</f>
        <v>60236.4</v>
      </c>
      <c r="M250">
        <f>K250-L250</f>
        <v>-15394.108800000002</v>
      </c>
    </row>
    <row r="251" spans="1:13" hidden="1" x14ac:dyDescent="0.35">
      <c r="A251" t="s">
        <v>434</v>
      </c>
      <c r="B251">
        <v>21</v>
      </c>
      <c r="C251" s="4" t="s">
        <v>24</v>
      </c>
      <c r="D251">
        <v>725.03</v>
      </c>
      <c r="E251">
        <v>828.95</v>
      </c>
      <c r="F251" t="s">
        <v>46</v>
      </c>
      <c r="G251" s="30">
        <v>0.18</v>
      </c>
      <c r="H251" t="s">
        <v>40</v>
      </c>
      <c r="I251" t="s">
        <v>34</v>
      </c>
      <c r="J251" t="s">
        <v>35</v>
      </c>
      <c r="K251">
        <f>B251*E251*(1-G251)</f>
        <v>14274.519000000002</v>
      </c>
      <c r="L251">
        <f>D251*B251</f>
        <v>15225.63</v>
      </c>
      <c r="M251">
        <f>K251-L251</f>
        <v>-951.11099999999715</v>
      </c>
    </row>
    <row r="252" spans="1:13" hidden="1" x14ac:dyDescent="0.35">
      <c r="A252" t="s">
        <v>435</v>
      </c>
      <c r="B252">
        <v>15</v>
      </c>
      <c r="C252" s="4" t="s">
        <v>51</v>
      </c>
      <c r="D252">
        <v>3653.66</v>
      </c>
      <c r="E252">
        <v>3896.19</v>
      </c>
      <c r="F252" t="s">
        <v>46</v>
      </c>
      <c r="G252" s="30">
        <v>0.03</v>
      </c>
      <c r="H252" t="s">
        <v>47</v>
      </c>
      <c r="I252" t="s">
        <v>27</v>
      </c>
      <c r="J252" t="s">
        <v>35</v>
      </c>
      <c r="K252">
        <f>B252*E252*(1-G252)</f>
        <v>56689.5645</v>
      </c>
      <c r="L252">
        <f>D252*B252</f>
        <v>54804.899999999994</v>
      </c>
      <c r="M252">
        <f>K252-L252</f>
        <v>1884.6645000000062</v>
      </c>
    </row>
    <row r="253" spans="1:13" hidden="1" x14ac:dyDescent="0.35">
      <c r="A253" t="s">
        <v>437</v>
      </c>
      <c r="B253">
        <v>17</v>
      </c>
      <c r="C253" s="4" t="s">
        <v>51</v>
      </c>
      <c r="D253">
        <v>4075.08</v>
      </c>
      <c r="E253">
        <v>4262.21</v>
      </c>
      <c r="F253" t="s">
        <v>46</v>
      </c>
      <c r="G253" s="30">
        <v>0.17</v>
      </c>
      <c r="H253" t="s">
        <v>26</v>
      </c>
      <c r="I253" t="s">
        <v>27</v>
      </c>
      <c r="J253" t="s">
        <v>41</v>
      </c>
      <c r="K253">
        <f>B253*E253*(1-G253)</f>
        <v>60139.783100000001</v>
      </c>
      <c r="L253">
        <f>D253*B253</f>
        <v>69276.36</v>
      </c>
      <c r="M253">
        <f>K253-L253</f>
        <v>-9136.5769</v>
      </c>
    </row>
    <row r="254" spans="1:13" hidden="1" x14ac:dyDescent="0.35">
      <c r="A254" t="s">
        <v>439</v>
      </c>
      <c r="B254">
        <v>22</v>
      </c>
      <c r="C254" s="4" t="s">
        <v>51</v>
      </c>
      <c r="D254">
        <v>1324.52</v>
      </c>
      <c r="E254">
        <v>1510.3</v>
      </c>
      <c r="F254" t="s">
        <v>25</v>
      </c>
      <c r="G254" s="30">
        <v>0.15</v>
      </c>
      <c r="H254" t="s">
        <v>26</v>
      </c>
      <c r="I254" t="s">
        <v>27</v>
      </c>
      <c r="J254" t="s">
        <v>35</v>
      </c>
      <c r="K254">
        <f>B254*E254*(1-G254)</f>
        <v>28242.609999999997</v>
      </c>
      <c r="L254">
        <f>D254*B254</f>
        <v>29139.439999999999</v>
      </c>
      <c r="M254">
        <f>K254-L254</f>
        <v>-896.83000000000175</v>
      </c>
    </row>
    <row r="255" spans="1:13" hidden="1" x14ac:dyDescent="0.35">
      <c r="A255" t="s">
        <v>440</v>
      </c>
      <c r="B255">
        <v>38</v>
      </c>
      <c r="C255" s="4" t="s">
        <v>51</v>
      </c>
      <c r="D255">
        <v>3883.38</v>
      </c>
      <c r="E255">
        <v>4152.72</v>
      </c>
      <c r="F255" t="s">
        <v>25</v>
      </c>
      <c r="G255" s="30">
        <v>0.26</v>
      </c>
      <c r="H255" t="s">
        <v>26</v>
      </c>
      <c r="I255" t="s">
        <v>27</v>
      </c>
      <c r="J255" t="s">
        <v>41</v>
      </c>
      <c r="K255">
        <f>B255*E255*(1-G255)</f>
        <v>116774.48640000001</v>
      </c>
      <c r="L255">
        <f>D255*B255</f>
        <v>147568.44</v>
      </c>
      <c r="M255">
        <f>K255-L255</f>
        <v>-30793.953599999993</v>
      </c>
    </row>
    <row r="256" spans="1:13" x14ac:dyDescent="0.35">
      <c r="A256" t="s">
        <v>273</v>
      </c>
      <c r="B256">
        <v>3</v>
      </c>
      <c r="C256" s="4" t="s">
        <v>45</v>
      </c>
      <c r="D256">
        <v>3472.51</v>
      </c>
      <c r="E256">
        <v>3732</v>
      </c>
      <c r="F256" t="s">
        <v>46</v>
      </c>
      <c r="G256" s="30">
        <v>0.06</v>
      </c>
      <c r="H256" t="s">
        <v>26</v>
      </c>
      <c r="I256" t="s">
        <v>34</v>
      </c>
      <c r="J256" t="s">
        <v>28</v>
      </c>
      <c r="K256">
        <f>B256*E256*(1-G256)</f>
        <v>10524.24</v>
      </c>
      <c r="L256">
        <f>D256*B256</f>
        <v>10417.530000000001</v>
      </c>
      <c r="M256">
        <f>K256-L256</f>
        <v>106.70999999999913</v>
      </c>
    </row>
    <row r="257" spans="1:13" hidden="1" x14ac:dyDescent="0.35">
      <c r="A257" t="s">
        <v>443</v>
      </c>
      <c r="B257">
        <v>45</v>
      </c>
      <c r="C257" s="4" t="s">
        <v>24</v>
      </c>
      <c r="D257">
        <v>2558.09</v>
      </c>
      <c r="E257">
        <v>2958.55</v>
      </c>
      <c r="F257" t="s">
        <v>46</v>
      </c>
      <c r="G257" s="30">
        <v>0.08</v>
      </c>
      <c r="H257" t="s">
        <v>26</v>
      </c>
      <c r="I257" t="s">
        <v>34</v>
      </c>
      <c r="J257" t="s">
        <v>41</v>
      </c>
      <c r="K257">
        <f>B257*E257*(1-G257)</f>
        <v>122483.97</v>
      </c>
      <c r="L257">
        <f>D257*B257</f>
        <v>115114.05</v>
      </c>
      <c r="M257">
        <f>K257-L257</f>
        <v>7369.9199999999983</v>
      </c>
    </row>
    <row r="258" spans="1:13" hidden="1" x14ac:dyDescent="0.35">
      <c r="A258" t="s">
        <v>487</v>
      </c>
      <c r="B258">
        <v>6</v>
      </c>
      <c r="C258" s="4" t="s">
        <v>24</v>
      </c>
      <c r="D258">
        <v>1945.27</v>
      </c>
      <c r="E258">
        <v>2309.4299999999998</v>
      </c>
      <c r="F258" t="s">
        <v>46</v>
      </c>
      <c r="G258" s="30">
        <v>0.26</v>
      </c>
      <c r="H258" t="s">
        <v>47</v>
      </c>
      <c r="I258" t="s">
        <v>34</v>
      </c>
      <c r="J258" t="s">
        <v>28</v>
      </c>
      <c r="K258">
        <f>B258*E258*(1-G258)</f>
        <v>10253.869199999999</v>
      </c>
      <c r="L258">
        <f>D258*B258</f>
        <v>11671.619999999999</v>
      </c>
      <c r="M258">
        <f>K258-L258</f>
        <v>-1417.7507999999998</v>
      </c>
    </row>
    <row r="259" spans="1:13" hidden="1" x14ac:dyDescent="0.35">
      <c r="A259" t="s">
        <v>113</v>
      </c>
      <c r="B259">
        <v>9</v>
      </c>
      <c r="C259" s="4" t="s">
        <v>51</v>
      </c>
      <c r="D259">
        <v>1141.52</v>
      </c>
      <c r="E259">
        <v>1550.19</v>
      </c>
      <c r="F259" t="s">
        <v>46</v>
      </c>
      <c r="G259" s="30">
        <v>0.28000000000000003</v>
      </c>
      <c r="H259" t="s">
        <v>47</v>
      </c>
      <c r="I259" t="s">
        <v>27</v>
      </c>
      <c r="J259" t="s">
        <v>28</v>
      </c>
      <c r="K259">
        <f>B259*E259*(1-G259)</f>
        <v>10045.2312</v>
      </c>
      <c r="L259">
        <f>D259*B259</f>
        <v>10273.68</v>
      </c>
      <c r="M259">
        <f>K259-L259</f>
        <v>-228.44880000000012</v>
      </c>
    </row>
    <row r="260" spans="1:13" hidden="1" x14ac:dyDescent="0.35">
      <c r="A260" t="s">
        <v>447</v>
      </c>
      <c r="B260">
        <v>47</v>
      </c>
      <c r="C260" s="4" t="s">
        <v>24</v>
      </c>
      <c r="D260">
        <v>4035.33</v>
      </c>
      <c r="E260">
        <v>4211.25</v>
      </c>
      <c r="F260" t="s">
        <v>25</v>
      </c>
      <c r="G260" s="30">
        <v>7.0000000000000007E-2</v>
      </c>
      <c r="H260" t="s">
        <v>40</v>
      </c>
      <c r="I260" t="s">
        <v>34</v>
      </c>
      <c r="J260" t="s">
        <v>35</v>
      </c>
      <c r="K260">
        <f>B260*E260*(1-G260)</f>
        <v>184073.73749999999</v>
      </c>
      <c r="L260">
        <f>D260*B260</f>
        <v>189660.51</v>
      </c>
      <c r="M260">
        <f>K260-L260</f>
        <v>-5586.772500000021</v>
      </c>
    </row>
    <row r="261" spans="1:13" hidden="1" x14ac:dyDescent="0.35">
      <c r="A261" t="s">
        <v>449</v>
      </c>
      <c r="B261">
        <v>17</v>
      </c>
      <c r="C261" s="4" t="s">
        <v>24</v>
      </c>
      <c r="D261">
        <v>727.38</v>
      </c>
      <c r="E261">
        <v>764.54</v>
      </c>
      <c r="F261" t="s">
        <v>25</v>
      </c>
      <c r="G261" s="30">
        <v>0.17</v>
      </c>
      <c r="H261" t="s">
        <v>47</v>
      </c>
      <c r="I261" t="s">
        <v>34</v>
      </c>
      <c r="J261" t="s">
        <v>35</v>
      </c>
      <c r="K261">
        <f>B261*E261*(1-G261)</f>
        <v>10787.6594</v>
      </c>
      <c r="L261">
        <f>D261*B261</f>
        <v>12365.46</v>
      </c>
      <c r="M261">
        <f>K261-L261</f>
        <v>-1577.8005999999987</v>
      </c>
    </row>
    <row r="262" spans="1:13" hidden="1" x14ac:dyDescent="0.35">
      <c r="A262" t="s">
        <v>450</v>
      </c>
      <c r="B262">
        <v>17</v>
      </c>
      <c r="C262" s="4" t="s">
        <v>24</v>
      </c>
      <c r="D262">
        <v>395.11</v>
      </c>
      <c r="E262">
        <v>676.66</v>
      </c>
      <c r="F262" t="s">
        <v>25</v>
      </c>
      <c r="G262" s="30">
        <v>0.25</v>
      </c>
      <c r="H262" t="s">
        <v>26</v>
      </c>
      <c r="I262" t="s">
        <v>34</v>
      </c>
      <c r="J262" t="s">
        <v>35</v>
      </c>
      <c r="K262">
        <f>B262*E262*(1-G262)</f>
        <v>8627.4149999999991</v>
      </c>
      <c r="L262">
        <f>D262*B262</f>
        <v>6716.87</v>
      </c>
      <c r="M262">
        <f>K262-L262</f>
        <v>1910.5449999999992</v>
      </c>
    </row>
    <row r="263" spans="1:13" hidden="1" x14ac:dyDescent="0.35">
      <c r="A263" t="s">
        <v>451</v>
      </c>
      <c r="B263">
        <v>26</v>
      </c>
      <c r="C263" s="4" t="s">
        <v>45</v>
      </c>
      <c r="D263">
        <v>4472.3500000000004</v>
      </c>
      <c r="E263">
        <v>4770.42</v>
      </c>
      <c r="F263" t="s">
        <v>46</v>
      </c>
      <c r="G263" s="30">
        <v>0.01</v>
      </c>
      <c r="H263" t="s">
        <v>47</v>
      </c>
      <c r="I263" t="s">
        <v>27</v>
      </c>
      <c r="J263" t="s">
        <v>41</v>
      </c>
      <c r="K263">
        <f>B263*E263*(1-G263)</f>
        <v>122790.61079999999</v>
      </c>
      <c r="L263">
        <f>D263*B263</f>
        <v>116281.1</v>
      </c>
      <c r="M263">
        <f>K263-L263</f>
        <v>6509.5107999999891</v>
      </c>
    </row>
    <row r="264" spans="1:13" hidden="1" x14ac:dyDescent="0.35">
      <c r="A264" t="s">
        <v>452</v>
      </c>
      <c r="B264">
        <v>13</v>
      </c>
      <c r="C264" s="4" t="s">
        <v>51</v>
      </c>
      <c r="D264">
        <v>1969.78</v>
      </c>
      <c r="E264">
        <v>2437.6999999999998</v>
      </c>
      <c r="F264" t="s">
        <v>46</v>
      </c>
      <c r="G264" s="30">
        <v>0.19</v>
      </c>
      <c r="H264" t="s">
        <v>47</v>
      </c>
      <c r="I264" t="s">
        <v>34</v>
      </c>
      <c r="J264" t="s">
        <v>41</v>
      </c>
      <c r="K264">
        <f>B264*E264*(1-G264)</f>
        <v>25668.981</v>
      </c>
      <c r="L264">
        <f>D264*B264</f>
        <v>25607.14</v>
      </c>
      <c r="M264">
        <f>K264-L264</f>
        <v>61.841000000000349</v>
      </c>
    </row>
    <row r="265" spans="1:13" hidden="1" x14ac:dyDescent="0.35">
      <c r="A265" t="s">
        <v>453</v>
      </c>
      <c r="B265">
        <v>17</v>
      </c>
      <c r="C265" s="4" t="s">
        <v>24</v>
      </c>
      <c r="D265">
        <v>1475</v>
      </c>
      <c r="E265">
        <v>1840.77</v>
      </c>
      <c r="F265" t="s">
        <v>25</v>
      </c>
      <c r="G265" s="30">
        <v>0.1</v>
      </c>
      <c r="H265" t="s">
        <v>47</v>
      </c>
      <c r="I265" t="s">
        <v>34</v>
      </c>
      <c r="J265" t="s">
        <v>35</v>
      </c>
      <c r="K265">
        <f>B265*E265*(1-G265)</f>
        <v>28163.780999999999</v>
      </c>
      <c r="L265">
        <f>D265*B265</f>
        <v>25075</v>
      </c>
      <c r="M265">
        <f>K265-L265</f>
        <v>3088.780999999999</v>
      </c>
    </row>
    <row r="266" spans="1:13" hidden="1" x14ac:dyDescent="0.35">
      <c r="A266" t="s">
        <v>455</v>
      </c>
      <c r="B266">
        <v>38</v>
      </c>
      <c r="C266" s="4" t="s">
        <v>45</v>
      </c>
      <c r="D266">
        <v>3637.25</v>
      </c>
      <c r="E266">
        <v>4096.96</v>
      </c>
      <c r="F266" t="s">
        <v>25</v>
      </c>
      <c r="G266" s="30">
        <v>0.09</v>
      </c>
      <c r="H266" t="s">
        <v>40</v>
      </c>
      <c r="I266" t="s">
        <v>34</v>
      </c>
      <c r="J266" t="s">
        <v>41</v>
      </c>
      <c r="K266">
        <f>B266*E266*(1-G266)</f>
        <v>141672.87680000003</v>
      </c>
      <c r="L266">
        <f>D266*B266</f>
        <v>138215.5</v>
      </c>
      <c r="M266">
        <f>K266-L266</f>
        <v>3457.3768000000273</v>
      </c>
    </row>
    <row r="267" spans="1:13" hidden="1" x14ac:dyDescent="0.35">
      <c r="A267" t="s">
        <v>456</v>
      </c>
      <c r="B267">
        <v>17</v>
      </c>
      <c r="C267" s="4" t="s">
        <v>45</v>
      </c>
      <c r="D267">
        <v>4190.26</v>
      </c>
      <c r="E267">
        <v>4645.3500000000004</v>
      </c>
      <c r="F267" t="s">
        <v>46</v>
      </c>
      <c r="G267" s="30">
        <v>0.12</v>
      </c>
      <c r="H267" t="s">
        <v>47</v>
      </c>
      <c r="I267" t="s">
        <v>27</v>
      </c>
      <c r="J267" t="s">
        <v>35</v>
      </c>
      <c r="K267">
        <f>B267*E267*(1-G267)</f>
        <v>69494.436000000016</v>
      </c>
      <c r="L267">
        <f>D267*B267</f>
        <v>71234.42</v>
      </c>
      <c r="M267">
        <f>K267-L267</f>
        <v>-1739.9839999999822</v>
      </c>
    </row>
    <row r="268" spans="1:13" hidden="1" x14ac:dyDescent="0.35">
      <c r="A268" t="s">
        <v>457</v>
      </c>
      <c r="B268">
        <v>48</v>
      </c>
      <c r="C268" s="4" t="s">
        <v>39</v>
      </c>
      <c r="D268">
        <v>4319.32</v>
      </c>
      <c r="E268">
        <v>4625.5600000000004</v>
      </c>
      <c r="F268" t="s">
        <v>25</v>
      </c>
      <c r="G268" s="30">
        <v>0.1</v>
      </c>
      <c r="H268" t="s">
        <v>40</v>
      </c>
      <c r="I268" t="s">
        <v>34</v>
      </c>
      <c r="J268" t="s">
        <v>41</v>
      </c>
      <c r="K268">
        <f>B268*E268*(1-G268)</f>
        <v>199824.19200000001</v>
      </c>
      <c r="L268">
        <f>D268*B268</f>
        <v>207327.35999999999</v>
      </c>
      <c r="M268">
        <f>K268-L268</f>
        <v>-7503.167999999976</v>
      </c>
    </row>
    <row r="269" spans="1:13" x14ac:dyDescent="0.35">
      <c r="A269" t="s">
        <v>107</v>
      </c>
      <c r="B269">
        <v>11</v>
      </c>
      <c r="C269" s="4" t="s">
        <v>39</v>
      </c>
      <c r="D269">
        <v>635.20000000000005</v>
      </c>
      <c r="E269">
        <v>814.14</v>
      </c>
      <c r="F269" t="s">
        <v>25</v>
      </c>
      <c r="G269" s="30">
        <v>0.02</v>
      </c>
      <c r="H269" t="s">
        <v>26</v>
      </c>
      <c r="I269" t="s">
        <v>34</v>
      </c>
      <c r="J269" t="s">
        <v>28</v>
      </c>
      <c r="K269">
        <f>B269*E269*(1-G269)</f>
        <v>8776.4291999999987</v>
      </c>
      <c r="L269">
        <f>D269*B269</f>
        <v>6987.2000000000007</v>
      </c>
      <c r="M269">
        <f>K269-L269</f>
        <v>1789.2291999999979</v>
      </c>
    </row>
    <row r="270" spans="1:13" x14ac:dyDescent="0.35">
      <c r="A270" t="s">
        <v>463</v>
      </c>
      <c r="B270">
        <v>14</v>
      </c>
      <c r="C270" s="4" t="s">
        <v>45</v>
      </c>
      <c r="D270">
        <v>362.38</v>
      </c>
      <c r="E270">
        <v>753.81</v>
      </c>
      <c r="F270" t="s">
        <v>25</v>
      </c>
      <c r="G270" s="30">
        <v>0.19</v>
      </c>
      <c r="H270" t="s">
        <v>26</v>
      </c>
      <c r="I270" t="s">
        <v>27</v>
      </c>
      <c r="J270" t="s">
        <v>28</v>
      </c>
      <c r="K270">
        <f>B270*E270*(1-G270)</f>
        <v>8548.2054000000007</v>
      </c>
      <c r="L270">
        <f>D270*B270</f>
        <v>5073.32</v>
      </c>
      <c r="M270">
        <f>K270-L270</f>
        <v>3474.885400000001</v>
      </c>
    </row>
    <row r="271" spans="1:13" hidden="1" x14ac:dyDescent="0.35">
      <c r="A271" t="s">
        <v>460</v>
      </c>
      <c r="B271">
        <v>6</v>
      </c>
      <c r="C271" s="4" t="s">
        <v>24</v>
      </c>
      <c r="D271">
        <v>252.62</v>
      </c>
      <c r="E271">
        <v>742</v>
      </c>
      <c r="F271" t="s">
        <v>46</v>
      </c>
      <c r="G271" s="30">
        <v>0.22</v>
      </c>
      <c r="H271" t="s">
        <v>47</v>
      </c>
      <c r="I271" t="s">
        <v>27</v>
      </c>
      <c r="J271" t="s">
        <v>35</v>
      </c>
      <c r="K271">
        <f>B271*E271*(1-G271)</f>
        <v>3472.56</v>
      </c>
      <c r="L271">
        <f>D271*B271</f>
        <v>1515.72</v>
      </c>
      <c r="M271">
        <f>K271-L271</f>
        <v>1956.84</v>
      </c>
    </row>
    <row r="272" spans="1:13" hidden="1" x14ac:dyDescent="0.35">
      <c r="A272" t="s">
        <v>461</v>
      </c>
      <c r="B272">
        <v>35</v>
      </c>
      <c r="C272" s="4" t="s">
        <v>45</v>
      </c>
      <c r="D272">
        <v>295.82</v>
      </c>
      <c r="E272">
        <v>684.67</v>
      </c>
      <c r="F272" t="s">
        <v>46</v>
      </c>
      <c r="G272" s="30">
        <v>0.03</v>
      </c>
      <c r="H272" t="s">
        <v>47</v>
      </c>
      <c r="I272" t="s">
        <v>34</v>
      </c>
      <c r="J272" t="s">
        <v>41</v>
      </c>
      <c r="K272">
        <f>B272*E272*(1-G272)</f>
        <v>23244.546499999997</v>
      </c>
      <c r="L272">
        <f>D272*B272</f>
        <v>10353.699999999999</v>
      </c>
      <c r="M272">
        <f>K272-L272</f>
        <v>12890.846499999998</v>
      </c>
    </row>
    <row r="273" spans="1:13" hidden="1" x14ac:dyDescent="0.35">
      <c r="A273" t="s">
        <v>462</v>
      </c>
      <c r="B273">
        <v>46</v>
      </c>
      <c r="C273" s="4" t="s">
        <v>51</v>
      </c>
      <c r="D273">
        <v>3136.42</v>
      </c>
      <c r="E273">
        <v>3198.49</v>
      </c>
      <c r="F273" t="s">
        <v>25</v>
      </c>
      <c r="G273" s="30">
        <v>0.28999999999999998</v>
      </c>
      <c r="H273" t="s">
        <v>26</v>
      </c>
      <c r="I273" t="s">
        <v>34</v>
      </c>
      <c r="J273" t="s">
        <v>41</v>
      </c>
      <c r="K273">
        <f>B273*E273*(1-G273)</f>
        <v>104462.68339999998</v>
      </c>
      <c r="L273">
        <f>D273*B273</f>
        <v>144275.32</v>
      </c>
      <c r="M273">
        <f>K273-L273</f>
        <v>-39812.636600000027</v>
      </c>
    </row>
    <row r="274" spans="1:13" x14ac:dyDescent="0.35">
      <c r="A274" t="s">
        <v>300</v>
      </c>
      <c r="B274">
        <v>12</v>
      </c>
      <c r="C274" s="4" t="s">
        <v>45</v>
      </c>
      <c r="D274">
        <v>253.29</v>
      </c>
      <c r="E274">
        <v>683.78</v>
      </c>
      <c r="F274" t="s">
        <v>46</v>
      </c>
      <c r="G274" s="30">
        <v>0.25</v>
      </c>
      <c r="H274" t="s">
        <v>47</v>
      </c>
      <c r="I274" t="s">
        <v>27</v>
      </c>
      <c r="J274" t="s">
        <v>28</v>
      </c>
      <c r="K274">
        <f>B274*E274*(1-G274)</f>
        <v>6154.02</v>
      </c>
      <c r="L274">
        <f>D274*B274</f>
        <v>3039.48</v>
      </c>
      <c r="M274">
        <f>K274-L274</f>
        <v>3114.5400000000004</v>
      </c>
    </row>
    <row r="275" spans="1:13" x14ac:dyDescent="0.35">
      <c r="A275" t="s">
        <v>251</v>
      </c>
      <c r="B275">
        <v>4</v>
      </c>
      <c r="C275" s="4" t="s">
        <v>51</v>
      </c>
      <c r="D275">
        <v>1046.26</v>
      </c>
      <c r="E275">
        <v>1475.29</v>
      </c>
      <c r="F275" t="s">
        <v>25</v>
      </c>
      <c r="G275" s="30">
        <v>0.09</v>
      </c>
      <c r="H275" t="s">
        <v>40</v>
      </c>
      <c r="I275" t="s">
        <v>34</v>
      </c>
      <c r="J275" t="s">
        <v>28</v>
      </c>
      <c r="K275">
        <f>B275*E275*(1-G275)</f>
        <v>5370.0555999999997</v>
      </c>
      <c r="L275">
        <f>D275*B275</f>
        <v>4185.04</v>
      </c>
      <c r="M275">
        <f>K275-L275</f>
        <v>1185.0155999999997</v>
      </c>
    </row>
    <row r="276" spans="1:13" hidden="1" x14ac:dyDescent="0.35">
      <c r="A276" t="s">
        <v>466</v>
      </c>
      <c r="B276">
        <v>8</v>
      </c>
      <c r="C276" s="4" t="s">
        <v>45</v>
      </c>
      <c r="D276">
        <v>3380.14</v>
      </c>
      <c r="E276">
        <v>3609.34</v>
      </c>
      <c r="F276" t="s">
        <v>25</v>
      </c>
      <c r="G276" s="30">
        <v>0.09</v>
      </c>
      <c r="H276" t="s">
        <v>47</v>
      </c>
      <c r="I276" t="s">
        <v>27</v>
      </c>
      <c r="J276" t="s">
        <v>35</v>
      </c>
      <c r="K276">
        <f>B276*E276*(1-G276)</f>
        <v>26275.995200000001</v>
      </c>
      <c r="L276">
        <f>D276*B276</f>
        <v>27041.119999999999</v>
      </c>
      <c r="M276">
        <f>K276-L276</f>
        <v>-765.12479999999778</v>
      </c>
    </row>
    <row r="277" spans="1:13" hidden="1" x14ac:dyDescent="0.35">
      <c r="A277" t="s">
        <v>189</v>
      </c>
      <c r="B277">
        <v>2</v>
      </c>
      <c r="C277" s="4" t="s">
        <v>51</v>
      </c>
      <c r="D277">
        <v>2953.23</v>
      </c>
      <c r="E277">
        <v>2977.52</v>
      </c>
      <c r="F277" t="s">
        <v>25</v>
      </c>
      <c r="G277" s="30">
        <v>0.11</v>
      </c>
      <c r="H277" t="s">
        <v>47</v>
      </c>
      <c r="I277" t="s">
        <v>27</v>
      </c>
      <c r="J277" t="s">
        <v>28</v>
      </c>
      <c r="K277">
        <f>B277*E277*(1-G277)</f>
        <v>5299.9856</v>
      </c>
      <c r="L277">
        <f>D277*B277</f>
        <v>5906.46</v>
      </c>
      <c r="M277">
        <f>K277-L277</f>
        <v>-606.47440000000006</v>
      </c>
    </row>
    <row r="278" spans="1:13" hidden="1" x14ac:dyDescent="0.35">
      <c r="A278" t="s">
        <v>469</v>
      </c>
      <c r="B278">
        <v>27</v>
      </c>
      <c r="C278" s="4" t="s">
        <v>45</v>
      </c>
      <c r="D278">
        <v>939.02</v>
      </c>
      <c r="E278">
        <v>1286.92</v>
      </c>
      <c r="F278" t="s">
        <v>25</v>
      </c>
      <c r="G278" s="30">
        <v>7.0000000000000007E-2</v>
      </c>
      <c r="H278" t="s">
        <v>47</v>
      </c>
      <c r="I278" t="s">
        <v>27</v>
      </c>
      <c r="J278" t="s">
        <v>35</v>
      </c>
      <c r="K278">
        <f>B278*E278*(1-G278)</f>
        <v>32314.5612</v>
      </c>
      <c r="L278">
        <f>D278*B278</f>
        <v>25353.54</v>
      </c>
      <c r="M278">
        <f>K278-L278</f>
        <v>6961.0211999999992</v>
      </c>
    </row>
    <row r="279" spans="1:13" x14ac:dyDescent="0.35">
      <c r="A279" t="s">
        <v>376</v>
      </c>
      <c r="B279">
        <v>8</v>
      </c>
      <c r="C279" s="4" t="s">
        <v>45</v>
      </c>
      <c r="D279">
        <v>467.11</v>
      </c>
      <c r="E279">
        <v>792.21</v>
      </c>
      <c r="F279" t="s">
        <v>46</v>
      </c>
      <c r="G279" s="30">
        <v>0.2</v>
      </c>
      <c r="H279" t="s">
        <v>47</v>
      </c>
      <c r="I279" t="s">
        <v>34</v>
      </c>
      <c r="J279" t="s">
        <v>28</v>
      </c>
      <c r="K279">
        <f>B279*E279*(1-G279)</f>
        <v>5070.1440000000002</v>
      </c>
      <c r="L279">
        <f>D279*B279</f>
        <v>3736.88</v>
      </c>
      <c r="M279">
        <f>K279-L279</f>
        <v>1333.2640000000001</v>
      </c>
    </row>
    <row r="280" spans="1:13" x14ac:dyDescent="0.35">
      <c r="A280" t="s">
        <v>19</v>
      </c>
      <c r="B280">
        <v>18</v>
      </c>
      <c r="C280" s="4" t="s">
        <v>24</v>
      </c>
      <c r="D280">
        <v>152.75</v>
      </c>
      <c r="E280">
        <v>267.22000000000003</v>
      </c>
      <c r="F280" t="s">
        <v>25</v>
      </c>
      <c r="G280" s="30">
        <v>0.09</v>
      </c>
      <c r="H280" t="s">
        <v>26</v>
      </c>
      <c r="I280" t="s">
        <v>27</v>
      </c>
      <c r="J280" t="s">
        <v>28</v>
      </c>
      <c r="K280">
        <f>B280*E280*(1-G280)</f>
        <v>4377.0636000000013</v>
      </c>
      <c r="L280">
        <f>D280*B280</f>
        <v>2749.5</v>
      </c>
      <c r="M280">
        <f>K280-L280</f>
        <v>1627.5636000000013</v>
      </c>
    </row>
    <row r="281" spans="1:13" hidden="1" x14ac:dyDescent="0.35">
      <c r="A281" t="s">
        <v>472</v>
      </c>
      <c r="B281">
        <v>31</v>
      </c>
      <c r="C281" s="4" t="s">
        <v>24</v>
      </c>
      <c r="D281">
        <v>2403.16</v>
      </c>
      <c r="E281">
        <v>2453.35</v>
      </c>
      <c r="F281" t="s">
        <v>25</v>
      </c>
      <c r="G281" s="30">
        <v>0.19</v>
      </c>
      <c r="H281" t="s">
        <v>47</v>
      </c>
      <c r="I281" t="s">
        <v>34</v>
      </c>
      <c r="J281" t="s">
        <v>41</v>
      </c>
      <c r="K281">
        <f>B281*E281*(1-G281)</f>
        <v>61603.618499999997</v>
      </c>
      <c r="L281">
        <f>D281*B281</f>
        <v>74497.959999999992</v>
      </c>
      <c r="M281">
        <f>K281-L281</f>
        <v>-12894.341499999995</v>
      </c>
    </row>
    <row r="282" spans="1:13" x14ac:dyDescent="0.35">
      <c r="A282" t="s">
        <v>351</v>
      </c>
      <c r="B282">
        <v>5</v>
      </c>
      <c r="C282" s="4" t="s">
        <v>39</v>
      </c>
      <c r="D282">
        <v>734.92</v>
      </c>
      <c r="E282">
        <v>991.21</v>
      </c>
      <c r="F282" t="s">
        <v>25</v>
      </c>
      <c r="G282" s="30">
        <v>0.21</v>
      </c>
      <c r="H282" t="s">
        <v>47</v>
      </c>
      <c r="I282" t="s">
        <v>34</v>
      </c>
      <c r="J282" t="s">
        <v>28</v>
      </c>
      <c r="K282">
        <f>B282*E282*(1-G282)</f>
        <v>3915.2795000000001</v>
      </c>
      <c r="L282">
        <f>D282*B282</f>
        <v>3674.6</v>
      </c>
      <c r="M282">
        <f>K282-L282</f>
        <v>240.67950000000019</v>
      </c>
    </row>
    <row r="283" spans="1:13" hidden="1" x14ac:dyDescent="0.35">
      <c r="A283" t="s">
        <v>285</v>
      </c>
      <c r="B283">
        <v>3</v>
      </c>
      <c r="C283" s="4" t="s">
        <v>51</v>
      </c>
      <c r="D283">
        <v>1595.35</v>
      </c>
      <c r="E283">
        <v>1625.71</v>
      </c>
      <c r="F283" t="s">
        <v>46</v>
      </c>
      <c r="G283" s="30">
        <v>0.27</v>
      </c>
      <c r="H283" t="s">
        <v>26</v>
      </c>
      <c r="I283" t="s">
        <v>27</v>
      </c>
      <c r="J283" t="s">
        <v>28</v>
      </c>
      <c r="K283">
        <f>B283*E283*(1-G283)</f>
        <v>3560.3049000000001</v>
      </c>
      <c r="L283">
        <f>D283*B283</f>
        <v>4786.0499999999993</v>
      </c>
      <c r="M283">
        <f>K283-L283</f>
        <v>-1225.7450999999992</v>
      </c>
    </row>
    <row r="284" spans="1:13" hidden="1" x14ac:dyDescent="0.35">
      <c r="A284" t="s">
        <v>476</v>
      </c>
      <c r="B284">
        <v>5</v>
      </c>
      <c r="C284" s="4" t="s">
        <v>51</v>
      </c>
      <c r="D284">
        <v>2311.25</v>
      </c>
      <c r="E284">
        <v>2482.34</v>
      </c>
      <c r="F284" t="s">
        <v>25</v>
      </c>
      <c r="G284" s="30">
        <v>0.22</v>
      </c>
      <c r="H284" t="s">
        <v>47</v>
      </c>
      <c r="I284" t="s">
        <v>34</v>
      </c>
      <c r="J284" t="s">
        <v>35</v>
      </c>
      <c r="K284">
        <f>B284*E284*(1-G284)</f>
        <v>9681.1260000000002</v>
      </c>
      <c r="L284">
        <f>D284*B284</f>
        <v>11556.25</v>
      </c>
      <c r="M284">
        <f>K284-L284</f>
        <v>-1875.1239999999998</v>
      </c>
    </row>
    <row r="285" spans="1:13" hidden="1" x14ac:dyDescent="0.35">
      <c r="A285" t="s">
        <v>393</v>
      </c>
      <c r="B285">
        <v>1</v>
      </c>
      <c r="C285" s="4" t="s">
        <v>39</v>
      </c>
      <c r="D285">
        <v>4190.83</v>
      </c>
      <c r="E285">
        <v>4528.7700000000004</v>
      </c>
      <c r="F285" t="s">
        <v>25</v>
      </c>
      <c r="G285" s="30">
        <v>0.22</v>
      </c>
      <c r="H285" t="s">
        <v>40</v>
      </c>
      <c r="I285" t="s">
        <v>27</v>
      </c>
      <c r="J285" t="s">
        <v>28</v>
      </c>
      <c r="K285">
        <f>B285*E285*(1-G285)</f>
        <v>3532.4406000000004</v>
      </c>
      <c r="L285">
        <f>D285*B285</f>
        <v>4190.83</v>
      </c>
      <c r="M285">
        <f>K285-L285</f>
        <v>-658.38939999999957</v>
      </c>
    </row>
    <row r="286" spans="1:13" hidden="1" x14ac:dyDescent="0.35">
      <c r="A286" t="s">
        <v>478</v>
      </c>
      <c r="B286">
        <v>49</v>
      </c>
      <c r="C286" s="4" t="s">
        <v>39</v>
      </c>
      <c r="D286">
        <v>615.47</v>
      </c>
      <c r="E286">
        <v>715.84</v>
      </c>
      <c r="F286" t="s">
        <v>25</v>
      </c>
      <c r="G286" s="30">
        <v>0.21</v>
      </c>
      <c r="H286" t="s">
        <v>47</v>
      </c>
      <c r="I286" t="s">
        <v>27</v>
      </c>
      <c r="J286" t="s">
        <v>35</v>
      </c>
      <c r="K286">
        <f>B286*E286*(1-G286)</f>
        <v>27710.166400000006</v>
      </c>
      <c r="L286">
        <f>D286*B286</f>
        <v>30158.030000000002</v>
      </c>
      <c r="M286">
        <f>K286-L286</f>
        <v>-2447.8635999999969</v>
      </c>
    </row>
    <row r="287" spans="1:13" hidden="1" x14ac:dyDescent="0.35">
      <c r="A287" t="s">
        <v>387</v>
      </c>
      <c r="B287">
        <v>5</v>
      </c>
      <c r="C287" s="4" t="s">
        <v>24</v>
      </c>
      <c r="D287">
        <v>745.71</v>
      </c>
      <c r="E287">
        <v>856.91</v>
      </c>
      <c r="F287" t="s">
        <v>25</v>
      </c>
      <c r="G287" s="30">
        <v>0.23</v>
      </c>
      <c r="H287" t="s">
        <v>40</v>
      </c>
      <c r="I287" t="s">
        <v>27</v>
      </c>
      <c r="J287" t="s">
        <v>28</v>
      </c>
      <c r="K287">
        <f>B287*E287*(1-G287)</f>
        <v>3299.1035000000002</v>
      </c>
      <c r="L287">
        <f>D287*B287</f>
        <v>3728.55</v>
      </c>
      <c r="M287">
        <f>K287-L287</f>
        <v>-429.44650000000001</v>
      </c>
    </row>
    <row r="288" spans="1:13" x14ac:dyDescent="0.35">
      <c r="A288" t="s">
        <v>370</v>
      </c>
      <c r="B288">
        <v>3</v>
      </c>
      <c r="C288" s="4" t="s">
        <v>39</v>
      </c>
      <c r="D288">
        <v>999.09</v>
      </c>
      <c r="E288">
        <v>1271.99</v>
      </c>
      <c r="F288" t="s">
        <v>46</v>
      </c>
      <c r="G288" s="30">
        <v>0.15</v>
      </c>
      <c r="H288" t="s">
        <v>47</v>
      </c>
      <c r="I288" t="s">
        <v>34</v>
      </c>
      <c r="J288" t="s">
        <v>28</v>
      </c>
      <c r="K288">
        <f>B288*E288*(1-G288)</f>
        <v>3243.5745000000002</v>
      </c>
      <c r="L288">
        <f>D288*B288</f>
        <v>2997.27</v>
      </c>
      <c r="M288">
        <f>K288-L288</f>
        <v>246.30450000000019</v>
      </c>
    </row>
    <row r="289" spans="1:13" hidden="1" x14ac:dyDescent="0.35">
      <c r="A289" t="s">
        <v>481</v>
      </c>
      <c r="B289">
        <v>34</v>
      </c>
      <c r="C289" s="4" t="s">
        <v>45</v>
      </c>
      <c r="D289">
        <v>1921.07</v>
      </c>
      <c r="E289">
        <v>2289.27</v>
      </c>
      <c r="F289" t="s">
        <v>25</v>
      </c>
      <c r="G289" s="30">
        <v>7.0000000000000007E-2</v>
      </c>
      <c r="H289" t="s">
        <v>40</v>
      </c>
      <c r="I289" t="s">
        <v>34</v>
      </c>
      <c r="J289" t="s">
        <v>35</v>
      </c>
      <c r="K289">
        <f>B289*E289*(1-G289)</f>
        <v>72386.717399999994</v>
      </c>
      <c r="L289">
        <f>D289*B289</f>
        <v>65316.38</v>
      </c>
      <c r="M289">
        <f>K289-L289</f>
        <v>7070.3373999999967</v>
      </c>
    </row>
    <row r="290" spans="1:13" hidden="1" x14ac:dyDescent="0.35">
      <c r="A290" t="s">
        <v>482</v>
      </c>
      <c r="B290">
        <v>26</v>
      </c>
      <c r="C290" s="4" t="s">
        <v>45</v>
      </c>
      <c r="D290">
        <v>4906.8500000000004</v>
      </c>
      <c r="E290">
        <v>6154.39</v>
      </c>
      <c r="F290" t="s">
        <v>46</v>
      </c>
      <c r="G290" s="30">
        <v>0.25</v>
      </c>
      <c r="H290" t="s">
        <v>40</v>
      </c>
      <c r="I290" t="s">
        <v>34</v>
      </c>
      <c r="J290" t="s">
        <v>41</v>
      </c>
      <c r="K290">
        <f>B290*E290*(1-G290)</f>
        <v>120010.60500000001</v>
      </c>
      <c r="L290">
        <f>D290*B290</f>
        <v>127578.1</v>
      </c>
      <c r="M290">
        <f>K290-L290</f>
        <v>-7567.4949999999953</v>
      </c>
    </row>
    <row r="291" spans="1:13" hidden="1" x14ac:dyDescent="0.35">
      <c r="A291" t="s">
        <v>483</v>
      </c>
      <c r="B291">
        <v>47</v>
      </c>
      <c r="C291" s="4" t="s">
        <v>45</v>
      </c>
      <c r="D291">
        <v>2357.9499999999998</v>
      </c>
      <c r="E291">
        <v>2693.33</v>
      </c>
      <c r="F291" t="s">
        <v>46</v>
      </c>
      <c r="G291" s="30">
        <v>0.18</v>
      </c>
      <c r="H291" t="s">
        <v>40</v>
      </c>
      <c r="I291" t="s">
        <v>34</v>
      </c>
      <c r="J291" t="s">
        <v>35</v>
      </c>
      <c r="K291">
        <f>B291*E291*(1-G291)</f>
        <v>103800.9382</v>
      </c>
      <c r="L291">
        <f>D291*B291</f>
        <v>110823.65</v>
      </c>
      <c r="M291">
        <f>K291-L291</f>
        <v>-7022.71179999999</v>
      </c>
    </row>
    <row r="292" spans="1:13" hidden="1" x14ac:dyDescent="0.35">
      <c r="A292" t="s">
        <v>484</v>
      </c>
      <c r="B292">
        <v>5</v>
      </c>
      <c r="C292" s="4" t="s">
        <v>24</v>
      </c>
      <c r="D292">
        <v>3970.08</v>
      </c>
      <c r="E292">
        <v>5096.4799999999996</v>
      </c>
      <c r="F292" t="s">
        <v>25</v>
      </c>
      <c r="G292" s="30">
        <v>0.13</v>
      </c>
      <c r="H292" t="s">
        <v>26</v>
      </c>
      <c r="I292" t="s">
        <v>34</v>
      </c>
      <c r="J292" t="s">
        <v>35</v>
      </c>
      <c r="K292">
        <f>B292*E292*(1-G292)</f>
        <v>22169.687999999998</v>
      </c>
      <c r="L292">
        <f>D292*B292</f>
        <v>19850.400000000001</v>
      </c>
      <c r="M292">
        <f>K292-L292</f>
        <v>2319.2879999999968</v>
      </c>
    </row>
    <row r="293" spans="1:13" hidden="1" x14ac:dyDescent="0.35">
      <c r="A293" t="s">
        <v>485</v>
      </c>
      <c r="B293">
        <v>26</v>
      </c>
      <c r="C293" s="4" t="s">
        <v>45</v>
      </c>
      <c r="D293">
        <v>2041.42</v>
      </c>
      <c r="E293">
        <v>3291.17</v>
      </c>
      <c r="F293" t="s">
        <v>25</v>
      </c>
      <c r="G293" s="30">
        <v>0.28000000000000003</v>
      </c>
      <c r="H293" t="s">
        <v>26</v>
      </c>
      <c r="I293" t="s">
        <v>27</v>
      </c>
      <c r="J293" t="s">
        <v>35</v>
      </c>
      <c r="K293">
        <f>B293*E293*(1-G293)</f>
        <v>61610.702399999995</v>
      </c>
      <c r="L293">
        <f>D293*B293</f>
        <v>53076.92</v>
      </c>
      <c r="M293">
        <f>K293-L293</f>
        <v>8533.7823999999964</v>
      </c>
    </row>
    <row r="294" spans="1:13" hidden="1" x14ac:dyDescent="0.35">
      <c r="A294" t="s">
        <v>486</v>
      </c>
      <c r="B294">
        <v>20</v>
      </c>
      <c r="C294" s="4" t="s">
        <v>39</v>
      </c>
      <c r="D294">
        <v>2153.52</v>
      </c>
      <c r="E294">
        <v>2303.6999999999998</v>
      </c>
      <c r="F294" t="s">
        <v>25</v>
      </c>
      <c r="G294" s="30">
        <v>0.01</v>
      </c>
      <c r="H294" t="s">
        <v>26</v>
      </c>
      <c r="I294" t="s">
        <v>34</v>
      </c>
      <c r="J294" t="s">
        <v>41</v>
      </c>
      <c r="K294">
        <f>B294*E294*(1-G294)</f>
        <v>45613.26</v>
      </c>
      <c r="L294">
        <f>D294*B294</f>
        <v>43070.400000000001</v>
      </c>
      <c r="M294">
        <f>K294-L294</f>
        <v>2542.8600000000006</v>
      </c>
    </row>
    <row r="295" spans="1:13" hidden="1" x14ac:dyDescent="0.35">
      <c r="A295" t="s">
        <v>101</v>
      </c>
      <c r="B295">
        <v>1</v>
      </c>
      <c r="C295" s="4" t="s">
        <v>24</v>
      </c>
      <c r="D295">
        <v>3290.89</v>
      </c>
      <c r="E295">
        <v>3317.75</v>
      </c>
      <c r="F295" t="s">
        <v>25</v>
      </c>
      <c r="G295" s="30">
        <v>0.17</v>
      </c>
      <c r="H295" t="s">
        <v>40</v>
      </c>
      <c r="I295" t="s">
        <v>27</v>
      </c>
      <c r="J295" t="s">
        <v>28</v>
      </c>
      <c r="K295">
        <f>B295*E295*(1-G295)</f>
        <v>2753.7325000000001</v>
      </c>
      <c r="L295">
        <f>D295*B295</f>
        <v>3290.89</v>
      </c>
      <c r="M295">
        <f>K295-L295</f>
        <v>-537.1574999999998</v>
      </c>
    </row>
    <row r="296" spans="1:13" hidden="1" x14ac:dyDescent="0.35">
      <c r="A296" t="s">
        <v>488</v>
      </c>
      <c r="B296">
        <v>6</v>
      </c>
      <c r="C296" s="4" t="s">
        <v>45</v>
      </c>
      <c r="D296">
        <v>3609.42</v>
      </c>
      <c r="E296">
        <v>4082.62</v>
      </c>
      <c r="F296" t="s">
        <v>25</v>
      </c>
      <c r="G296" s="30">
        <v>0.3</v>
      </c>
      <c r="H296" t="s">
        <v>40</v>
      </c>
      <c r="I296" t="s">
        <v>27</v>
      </c>
      <c r="J296" t="s">
        <v>35</v>
      </c>
      <c r="K296">
        <f>B296*E296*(1-G296)</f>
        <v>17147.004000000001</v>
      </c>
      <c r="L296">
        <f>D296*B296</f>
        <v>21656.52</v>
      </c>
      <c r="M296">
        <f>K296-L296</f>
        <v>-4509.5159999999996</v>
      </c>
    </row>
    <row r="297" spans="1:13" hidden="1" x14ac:dyDescent="0.35">
      <c r="A297" t="s">
        <v>489</v>
      </c>
      <c r="B297">
        <v>18</v>
      </c>
      <c r="C297" s="4" t="s">
        <v>24</v>
      </c>
      <c r="D297">
        <v>2760.21</v>
      </c>
      <c r="E297">
        <v>3219.58</v>
      </c>
      <c r="F297" t="s">
        <v>46</v>
      </c>
      <c r="G297" s="30">
        <v>0.27</v>
      </c>
      <c r="H297" t="s">
        <v>40</v>
      </c>
      <c r="I297" t="s">
        <v>34</v>
      </c>
      <c r="J297" t="s">
        <v>35</v>
      </c>
      <c r="K297">
        <f>B297*E297*(1-G297)</f>
        <v>42305.281199999998</v>
      </c>
      <c r="L297">
        <f>D297*B297</f>
        <v>49683.78</v>
      </c>
      <c r="M297">
        <f>K297-L297</f>
        <v>-7378.4988000000012</v>
      </c>
    </row>
    <row r="298" spans="1:13" hidden="1" x14ac:dyDescent="0.35">
      <c r="A298" t="s">
        <v>490</v>
      </c>
      <c r="B298">
        <v>4</v>
      </c>
      <c r="C298" s="4" t="s">
        <v>39</v>
      </c>
      <c r="D298">
        <v>4721.7</v>
      </c>
      <c r="E298">
        <v>5017.58</v>
      </c>
      <c r="F298" t="s">
        <v>46</v>
      </c>
      <c r="G298" s="30">
        <v>0.24</v>
      </c>
      <c r="H298" t="s">
        <v>26</v>
      </c>
      <c r="I298" t="s">
        <v>34</v>
      </c>
      <c r="J298" t="s">
        <v>41</v>
      </c>
      <c r="K298">
        <f>B298*E298*(1-G298)</f>
        <v>15253.4432</v>
      </c>
      <c r="L298">
        <f>D298*B298</f>
        <v>18886.8</v>
      </c>
      <c r="M298">
        <f>K298-L298</f>
        <v>-3633.3567999999996</v>
      </c>
    </row>
    <row r="299" spans="1:13" hidden="1" x14ac:dyDescent="0.35">
      <c r="A299" t="s">
        <v>491</v>
      </c>
      <c r="B299">
        <v>17</v>
      </c>
      <c r="C299" s="4" t="s">
        <v>45</v>
      </c>
      <c r="D299">
        <v>1291.9100000000001</v>
      </c>
      <c r="E299">
        <v>1528.59</v>
      </c>
      <c r="F299" t="s">
        <v>25</v>
      </c>
      <c r="G299" s="30">
        <v>0.11</v>
      </c>
      <c r="H299" t="s">
        <v>47</v>
      </c>
      <c r="I299" t="s">
        <v>34</v>
      </c>
      <c r="J299" t="s">
        <v>35</v>
      </c>
      <c r="K299">
        <f>B299*E299*(1-G299)</f>
        <v>23127.566699999999</v>
      </c>
      <c r="L299">
        <f>D299*B299</f>
        <v>21962.47</v>
      </c>
      <c r="M299">
        <f>K299-L299</f>
        <v>1165.0966999999982</v>
      </c>
    </row>
    <row r="300" spans="1:13" hidden="1" x14ac:dyDescent="0.35">
      <c r="A300" t="s">
        <v>234</v>
      </c>
      <c r="B300">
        <v>1</v>
      </c>
      <c r="C300" s="4" t="s">
        <v>24</v>
      </c>
      <c r="D300">
        <v>2928.74</v>
      </c>
      <c r="E300">
        <v>3027.74</v>
      </c>
      <c r="F300" t="s">
        <v>46</v>
      </c>
      <c r="G300" s="30">
        <v>0.15</v>
      </c>
      <c r="H300" t="s">
        <v>40</v>
      </c>
      <c r="I300" t="s">
        <v>27</v>
      </c>
      <c r="J300" t="s">
        <v>28</v>
      </c>
      <c r="K300">
        <f>B300*E300*(1-G300)</f>
        <v>2573.5789999999997</v>
      </c>
      <c r="L300">
        <f>D300*B300</f>
        <v>2928.74</v>
      </c>
      <c r="M300">
        <f>K300-L300</f>
        <v>-355.16100000000006</v>
      </c>
    </row>
    <row r="301" spans="1:13" hidden="1" x14ac:dyDescent="0.35">
      <c r="A301" t="s">
        <v>494</v>
      </c>
      <c r="B301">
        <v>14</v>
      </c>
      <c r="C301" s="4" t="s">
        <v>39</v>
      </c>
      <c r="D301">
        <v>1996.64</v>
      </c>
      <c r="E301">
        <v>2341.4699999999998</v>
      </c>
      <c r="F301" t="s">
        <v>25</v>
      </c>
      <c r="G301" s="30">
        <v>0.22</v>
      </c>
      <c r="H301" t="s">
        <v>47</v>
      </c>
      <c r="I301" t="s">
        <v>27</v>
      </c>
      <c r="J301" t="s">
        <v>41</v>
      </c>
      <c r="K301">
        <f>B301*E301*(1-G301)</f>
        <v>25568.852399999996</v>
      </c>
      <c r="L301">
        <f>D301*B301</f>
        <v>27952.960000000003</v>
      </c>
      <c r="M301">
        <f>K301-L301</f>
        <v>-2384.1076000000066</v>
      </c>
    </row>
    <row r="302" spans="1:13" hidden="1" x14ac:dyDescent="0.35">
      <c r="A302" t="s">
        <v>206</v>
      </c>
      <c r="B302">
        <v>2</v>
      </c>
      <c r="C302" s="4" t="s">
        <v>24</v>
      </c>
      <c r="D302">
        <v>1036.76</v>
      </c>
      <c r="E302">
        <v>1189.3499999999999</v>
      </c>
      <c r="F302" t="s">
        <v>46</v>
      </c>
      <c r="G302" s="30">
        <v>0.27</v>
      </c>
      <c r="H302" t="s">
        <v>40</v>
      </c>
      <c r="I302" t="s">
        <v>34</v>
      </c>
      <c r="J302" t="s">
        <v>28</v>
      </c>
      <c r="K302">
        <f>B302*E302*(1-G302)</f>
        <v>1736.4509999999998</v>
      </c>
      <c r="L302">
        <f>D302*B302</f>
        <v>2073.52</v>
      </c>
      <c r="M302">
        <f>K302-L302</f>
        <v>-337.06900000000019</v>
      </c>
    </row>
    <row r="303" spans="1:13" hidden="1" x14ac:dyDescent="0.35">
      <c r="A303" t="s">
        <v>324</v>
      </c>
      <c r="B303">
        <v>1</v>
      </c>
      <c r="C303" s="4" t="s">
        <v>39</v>
      </c>
      <c r="D303">
        <v>182.99</v>
      </c>
      <c r="E303">
        <v>211.18</v>
      </c>
      <c r="F303" t="s">
        <v>25</v>
      </c>
      <c r="G303" s="30">
        <v>0.27</v>
      </c>
      <c r="H303" t="s">
        <v>40</v>
      </c>
      <c r="I303" t="s">
        <v>27</v>
      </c>
      <c r="J303" t="s">
        <v>28</v>
      </c>
      <c r="K303">
        <f>B303*E303*(1-G303)</f>
        <v>154.16140000000001</v>
      </c>
      <c r="L303">
        <f>D303*B303</f>
        <v>182.99</v>
      </c>
      <c r="M303">
        <f>K303-L303</f>
        <v>-28.828599999999994</v>
      </c>
    </row>
  </sheetData>
  <mergeCells count="1">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8063-9E78-4B82-9691-470A637F5CAA}">
  <sheetPr>
    <tabColor theme="7" tint="0.39997558519241921"/>
  </sheetPr>
  <dimension ref="A1:R301"/>
  <sheetViews>
    <sheetView zoomScale="69" workbookViewId="0">
      <selection activeCell="R14" sqref="R14"/>
    </sheetView>
  </sheetViews>
  <sheetFormatPr defaultRowHeight="14.5" x14ac:dyDescent="0.35"/>
  <cols>
    <col min="1" max="1" width="10.54296875" customWidth="1"/>
    <col min="2" max="2" width="11.1796875" customWidth="1"/>
    <col min="5" max="5" width="14.7265625" customWidth="1"/>
    <col min="6" max="6" width="17.90625" customWidth="1"/>
    <col min="7" max="7" width="11.08984375" customWidth="1"/>
    <col min="8" max="8" width="11.453125" customWidth="1"/>
    <col min="9" max="9" width="16" customWidth="1"/>
    <col min="10" max="10" width="10.1796875" customWidth="1"/>
    <col min="11" max="11" width="18" customWidth="1"/>
    <col min="12" max="12" width="14.81640625" customWidth="1"/>
    <col min="13" max="13" width="14" customWidth="1"/>
    <col min="14" max="14" width="14.81640625" customWidth="1"/>
    <col min="15" max="15" width="11.6328125" customWidth="1"/>
    <col min="18" max="18" width="55.54296875" bestFit="1" customWidth="1"/>
  </cols>
  <sheetData>
    <row r="1" spans="1:18" x14ac:dyDescent="0.35">
      <c r="A1" s="48" t="s">
        <v>0</v>
      </c>
      <c r="B1" s="48" t="s">
        <v>2</v>
      </c>
      <c r="C1" s="48" t="s">
        <v>538</v>
      </c>
      <c r="D1" s="48" t="s">
        <v>6</v>
      </c>
      <c r="E1" s="48" t="s">
        <v>8</v>
      </c>
      <c r="F1" s="49" t="s">
        <v>9</v>
      </c>
      <c r="G1" s="48" t="s">
        <v>10</v>
      </c>
      <c r="H1" s="48" t="s">
        <v>11</v>
      </c>
      <c r="I1" s="48" t="s">
        <v>12</v>
      </c>
      <c r="J1" s="50" t="s">
        <v>13</v>
      </c>
      <c r="K1" s="48" t="s">
        <v>14</v>
      </c>
      <c r="L1" s="48" t="s">
        <v>15</v>
      </c>
      <c r="M1" s="48" t="s">
        <v>16</v>
      </c>
      <c r="N1" s="48" t="s">
        <v>17</v>
      </c>
      <c r="O1" s="48" t="s">
        <v>558</v>
      </c>
      <c r="P1" s="48" t="s">
        <v>18</v>
      </c>
    </row>
    <row r="2" spans="1:18" x14ac:dyDescent="0.35">
      <c r="A2" s="39" t="s">
        <v>19</v>
      </c>
      <c r="B2" s="45">
        <v>44960</v>
      </c>
      <c r="C2" s="45" t="str">
        <f>TEXT(B2,"mmm")</f>
        <v>Feb</v>
      </c>
      <c r="D2" s="39" t="s">
        <v>22</v>
      </c>
      <c r="E2" s="39">
        <v>18</v>
      </c>
      <c r="F2" s="46" t="s">
        <v>24</v>
      </c>
      <c r="G2" s="39">
        <v>152.75</v>
      </c>
      <c r="H2" s="39">
        <v>267.22000000000003</v>
      </c>
      <c r="I2" s="39" t="s">
        <v>25</v>
      </c>
      <c r="J2" s="47">
        <v>0.09</v>
      </c>
      <c r="K2" s="39" t="s">
        <v>26</v>
      </c>
      <c r="L2" s="39" t="s">
        <v>27</v>
      </c>
      <c r="M2" s="39" t="s">
        <v>28</v>
      </c>
      <c r="N2" s="39">
        <f>E2*H2*(1-J2)</f>
        <v>4377.0636000000013</v>
      </c>
      <c r="O2" s="39">
        <f>G2*E2</f>
        <v>2749.5</v>
      </c>
      <c r="P2" s="39">
        <f>N2-O2</f>
        <v>1627.5636000000013</v>
      </c>
      <c r="R2" s="51" t="s">
        <v>569</v>
      </c>
    </row>
    <row r="3" spans="1:18" x14ac:dyDescent="0.35">
      <c r="A3" s="39" t="s">
        <v>29</v>
      </c>
      <c r="B3" s="45">
        <v>45037</v>
      </c>
      <c r="C3" s="45" t="str">
        <f t="shared" ref="C3:C66" si="0">TEXT(B3,"mmm")</f>
        <v>Apr</v>
      </c>
      <c r="D3" s="39" t="s">
        <v>32</v>
      </c>
      <c r="E3" s="39">
        <v>17</v>
      </c>
      <c r="F3" s="46" t="s">
        <v>24</v>
      </c>
      <c r="G3" s="39">
        <v>3816.39</v>
      </c>
      <c r="H3" s="39">
        <v>4209.4399999999996</v>
      </c>
      <c r="I3" s="39" t="s">
        <v>25</v>
      </c>
      <c r="J3" s="47">
        <v>0.1</v>
      </c>
      <c r="K3" s="39" t="s">
        <v>26</v>
      </c>
      <c r="L3" s="39" t="s">
        <v>34</v>
      </c>
      <c r="M3" s="39" t="s">
        <v>35</v>
      </c>
      <c r="N3" s="39">
        <f t="shared" ref="N3:N66" si="1">E3*H3*(1-J3)</f>
        <v>64404.432000000001</v>
      </c>
      <c r="O3" s="39">
        <f t="shared" ref="O3:O66" si="2">G3*E3</f>
        <v>64878.63</v>
      </c>
      <c r="P3" s="39">
        <f t="shared" ref="P3:P66" si="3">N3-O3</f>
        <v>-474.19799999999668</v>
      </c>
      <c r="R3" s="51" t="s">
        <v>572</v>
      </c>
    </row>
    <row r="4" spans="1:18" x14ac:dyDescent="0.35">
      <c r="A4" s="39" t="s">
        <v>36</v>
      </c>
      <c r="B4" s="45">
        <v>45190</v>
      </c>
      <c r="C4" s="45" t="str">
        <f t="shared" si="0"/>
        <v>Sep</v>
      </c>
      <c r="D4" s="39" t="s">
        <v>38</v>
      </c>
      <c r="E4" s="39">
        <v>30</v>
      </c>
      <c r="F4" s="46" t="s">
        <v>39</v>
      </c>
      <c r="G4" s="39">
        <v>261.56</v>
      </c>
      <c r="H4" s="39">
        <v>371.4</v>
      </c>
      <c r="I4" s="39" t="s">
        <v>25</v>
      </c>
      <c r="J4" s="47">
        <v>0.2</v>
      </c>
      <c r="K4" s="39" t="s">
        <v>40</v>
      </c>
      <c r="L4" s="39" t="s">
        <v>34</v>
      </c>
      <c r="M4" s="39" t="s">
        <v>41</v>
      </c>
      <c r="N4" s="39">
        <f t="shared" si="1"/>
        <v>8913.6</v>
      </c>
      <c r="O4" s="39">
        <f t="shared" si="2"/>
        <v>7846.8</v>
      </c>
      <c r="P4" s="39">
        <f t="shared" si="3"/>
        <v>1066.8000000000002</v>
      </c>
      <c r="R4" s="51" t="s">
        <v>570</v>
      </c>
    </row>
    <row r="5" spans="1:18" x14ac:dyDescent="0.35">
      <c r="A5" s="39" t="s">
        <v>42</v>
      </c>
      <c r="B5" s="45">
        <v>45162</v>
      </c>
      <c r="C5" s="45" t="str">
        <f t="shared" si="0"/>
        <v>Aug</v>
      </c>
      <c r="D5" s="39" t="s">
        <v>32</v>
      </c>
      <c r="E5" s="39">
        <v>39</v>
      </c>
      <c r="F5" s="46" t="s">
        <v>45</v>
      </c>
      <c r="G5" s="39">
        <v>4330.03</v>
      </c>
      <c r="H5" s="39">
        <v>4467.75</v>
      </c>
      <c r="I5" s="39" t="s">
        <v>46</v>
      </c>
      <c r="J5" s="47">
        <v>0.02</v>
      </c>
      <c r="K5" s="39" t="s">
        <v>47</v>
      </c>
      <c r="L5" s="39" t="s">
        <v>34</v>
      </c>
      <c r="M5" s="39" t="s">
        <v>28</v>
      </c>
      <c r="N5" s="39">
        <f t="shared" si="1"/>
        <v>170757.405</v>
      </c>
      <c r="O5" s="39">
        <f t="shared" si="2"/>
        <v>168871.16999999998</v>
      </c>
      <c r="P5" s="39">
        <f t="shared" si="3"/>
        <v>1886.2350000000151</v>
      </c>
      <c r="R5" s="51" t="s">
        <v>571</v>
      </c>
    </row>
    <row r="6" spans="1:18" x14ac:dyDescent="0.35">
      <c r="A6" s="39" t="s">
        <v>48</v>
      </c>
      <c r="B6" s="45">
        <v>45009</v>
      </c>
      <c r="C6" s="45" t="str">
        <f t="shared" si="0"/>
        <v>Mar</v>
      </c>
      <c r="D6" s="39" t="s">
        <v>32</v>
      </c>
      <c r="E6" s="39">
        <v>13</v>
      </c>
      <c r="F6" s="46" t="s">
        <v>51</v>
      </c>
      <c r="G6" s="39">
        <v>637.37</v>
      </c>
      <c r="H6" s="39">
        <v>692.71</v>
      </c>
      <c r="I6" s="39" t="s">
        <v>46</v>
      </c>
      <c r="J6" s="47">
        <v>0.08</v>
      </c>
      <c r="K6" s="39" t="s">
        <v>47</v>
      </c>
      <c r="L6" s="39" t="s">
        <v>34</v>
      </c>
      <c r="M6" s="39" t="s">
        <v>41</v>
      </c>
      <c r="N6" s="39">
        <f t="shared" si="1"/>
        <v>8284.8115999999991</v>
      </c>
      <c r="O6" s="39">
        <f t="shared" si="2"/>
        <v>8285.81</v>
      </c>
      <c r="P6" s="39">
        <f t="shared" si="3"/>
        <v>-0.99840000000040163</v>
      </c>
    </row>
    <row r="7" spans="1:18" x14ac:dyDescent="0.35">
      <c r="A7" s="39" t="s">
        <v>52</v>
      </c>
      <c r="B7" s="45">
        <v>44968</v>
      </c>
      <c r="C7" s="45" t="str">
        <f t="shared" si="0"/>
        <v>Feb</v>
      </c>
      <c r="D7" s="39" t="s">
        <v>54</v>
      </c>
      <c r="E7" s="39">
        <v>32</v>
      </c>
      <c r="F7" s="46" t="s">
        <v>39</v>
      </c>
      <c r="G7" s="39">
        <v>900.79</v>
      </c>
      <c r="H7" s="39">
        <v>1106.51</v>
      </c>
      <c r="I7" s="39" t="s">
        <v>46</v>
      </c>
      <c r="J7" s="47">
        <v>0.21</v>
      </c>
      <c r="K7" s="39" t="s">
        <v>26</v>
      </c>
      <c r="L7" s="39" t="s">
        <v>34</v>
      </c>
      <c r="M7" s="39" t="s">
        <v>41</v>
      </c>
      <c r="N7" s="39">
        <f t="shared" si="1"/>
        <v>27972.572800000002</v>
      </c>
      <c r="O7" s="39">
        <f t="shared" si="2"/>
        <v>28825.279999999999</v>
      </c>
      <c r="P7" s="39">
        <f t="shared" si="3"/>
        <v>-852.7071999999971</v>
      </c>
    </row>
    <row r="8" spans="1:18" x14ac:dyDescent="0.35">
      <c r="A8" s="39" t="s">
        <v>55</v>
      </c>
      <c r="B8" s="45">
        <v>45027</v>
      </c>
      <c r="C8" s="45" t="str">
        <f t="shared" si="0"/>
        <v>Apr</v>
      </c>
      <c r="D8" s="39" t="s">
        <v>38</v>
      </c>
      <c r="E8" s="39">
        <v>29</v>
      </c>
      <c r="F8" s="46" t="s">
        <v>24</v>
      </c>
      <c r="G8" s="39">
        <v>2408.81</v>
      </c>
      <c r="H8" s="39">
        <v>2824.09</v>
      </c>
      <c r="I8" s="39" t="s">
        <v>25</v>
      </c>
      <c r="J8" s="47">
        <v>0.04</v>
      </c>
      <c r="K8" s="39" t="s">
        <v>26</v>
      </c>
      <c r="L8" s="39" t="s">
        <v>27</v>
      </c>
      <c r="M8" s="39" t="s">
        <v>35</v>
      </c>
      <c r="N8" s="39">
        <f t="shared" si="1"/>
        <v>78622.665599999993</v>
      </c>
      <c r="O8" s="39">
        <f t="shared" si="2"/>
        <v>69855.490000000005</v>
      </c>
      <c r="P8" s="39">
        <f t="shared" si="3"/>
        <v>8767.1755999999878</v>
      </c>
    </row>
    <row r="9" spans="1:18" x14ac:dyDescent="0.35">
      <c r="A9" s="39" t="s">
        <v>57</v>
      </c>
      <c r="B9" s="45">
        <v>44932</v>
      </c>
      <c r="C9" s="45" t="str">
        <f t="shared" si="0"/>
        <v>Jan</v>
      </c>
      <c r="D9" s="39" t="s">
        <v>38</v>
      </c>
      <c r="E9" s="39">
        <v>46</v>
      </c>
      <c r="F9" s="46" t="s">
        <v>24</v>
      </c>
      <c r="G9" s="39">
        <v>3702.51</v>
      </c>
      <c r="H9" s="39">
        <v>3964.65</v>
      </c>
      <c r="I9" s="39" t="s">
        <v>46</v>
      </c>
      <c r="J9" s="47">
        <v>0.12</v>
      </c>
      <c r="K9" s="39" t="s">
        <v>40</v>
      </c>
      <c r="L9" s="39" t="s">
        <v>27</v>
      </c>
      <c r="M9" s="39" t="s">
        <v>41</v>
      </c>
      <c r="N9" s="39">
        <f t="shared" si="1"/>
        <v>160489.03200000001</v>
      </c>
      <c r="O9" s="39">
        <f t="shared" si="2"/>
        <v>170315.46000000002</v>
      </c>
      <c r="P9" s="39">
        <f t="shared" si="3"/>
        <v>-9826.4280000000144</v>
      </c>
    </row>
    <row r="10" spans="1:18" x14ac:dyDescent="0.35">
      <c r="A10" s="39" t="s">
        <v>59</v>
      </c>
      <c r="B10" s="45">
        <v>45106</v>
      </c>
      <c r="C10" s="45" t="str">
        <f t="shared" si="0"/>
        <v>Jun</v>
      </c>
      <c r="D10" s="39" t="s">
        <v>38</v>
      </c>
      <c r="E10" s="39">
        <v>30</v>
      </c>
      <c r="F10" s="46" t="s">
        <v>24</v>
      </c>
      <c r="G10" s="39">
        <v>738.06</v>
      </c>
      <c r="H10" s="39">
        <v>1095.45</v>
      </c>
      <c r="I10" s="39" t="s">
        <v>46</v>
      </c>
      <c r="J10" s="47">
        <v>0.05</v>
      </c>
      <c r="K10" s="39" t="s">
        <v>40</v>
      </c>
      <c r="L10" s="39" t="s">
        <v>27</v>
      </c>
      <c r="M10" s="39" t="s">
        <v>35</v>
      </c>
      <c r="N10" s="39">
        <f t="shared" si="1"/>
        <v>31220.324999999997</v>
      </c>
      <c r="O10" s="39">
        <f t="shared" si="2"/>
        <v>22141.8</v>
      </c>
      <c r="P10" s="39">
        <f t="shared" si="3"/>
        <v>9078.5249999999978</v>
      </c>
    </row>
    <row r="11" spans="1:18" x14ac:dyDescent="0.35">
      <c r="A11" s="39" t="s">
        <v>61</v>
      </c>
      <c r="B11" s="45">
        <v>45208</v>
      </c>
      <c r="C11" s="45" t="str">
        <f t="shared" si="0"/>
        <v>Oct</v>
      </c>
      <c r="D11" s="39" t="s">
        <v>32</v>
      </c>
      <c r="E11" s="39">
        <v>18</v>
      </c>
      <c r="F11" s="46" t="s">
        <v>45</v>
      </c>
      <c r="G11" s="39">
        <v>2228.35</v>
      </c>
      <c r="H11" s="39">
        <v>2682.34</v>
      </c>
      <c r="I11" s="39" t="s">
        <v>46</v>
      </c>
      <c r="J11" s="47">
        <v>0.13</v>
      </c>
      <c r="K11" s="39" t="s">
        <v>40</v>
      </c>
      <c r="L11" s="39" t="s">
        <v>27</v>
      </c>
      <c r="M11" s="39" t="s">
        <v>28</v>
      </c>
      <c r="N11" s="39">
        <f t="shared" si="1"/>
        <v>42005.4444</v>
      </c>
      <c r="O11" s="39">
        <f t="shared" si="2"/>
        <v>40110.299999999996</v>
      </c>
      <c r="P11" s="39">
        <f t="shared" si="3"/>
        <v>1895.1444000000047</v>
      </c>
    </row>
    <row r="12" spans="1:18" x14ac:dyDescent="0.35">
      <c r="A12" s="39" t="s">
        <v>63</v>
      </c>
      <c r="B12" s="45">
        <v>45246</v>
      </c>
      <c r="C12" s="45" t="str">
        <f t="shared" si="0"/>
        <v>Nov</v>
      </c>
      <c r="D12" s="39" t="s">
        <v>22</v>
      </c>
      <c r="E12" s="39">
        <v>13</v>
      </c>
      <c r="F12" s="46" t="s">
        <v>24</v>
      </c>
      <c r="G12" s="39">
        <v>2440.11</v>
      </c>
      <c r="H12" s="39">
        <v>2517.6</v>
      </c>
      <c r="I12" s="39" t="s">
        <v>46</v>
      </c>
      <c r="J12" s="47">
        <v>0.12</v>
      </c>
      <c r="K12" s="39" t="s">
        <v>40</v>
      </c>
      <c r="L12" s="39" t="s">
        <v>34</v>
      </c>
      <c r="M12" s="39" t="s">
        <v>41</v>
      </c>
      <c r="N12" s="39">
        <f t="shared" si="1"/>
        <v>28801.344000000001</v>
      </c>
      <c r="O12" s="39">
        <f t="shared" si="2"/>
        <v>31721.43</v>
      </c>
      <c r="P12" s="39">
        <f t="shared" si="3"/>
        <v>-2920.0859999999993</v>
      </c>
    </row>
    <row r="13" spans="1:18" x14ac:dyDescent="0.35">
      <c r="A13" s="39" t="s">
        <v>66</v>
      </c>
      <c r="B13" s="45">
        <v>45152</v>
      </c>
      <c r="C13" s="45" t="str">
        <f t="shared" si="0"/>
        <v>Aug</v>
      </c>
      <c r="D13" s="39" t="s">
        <v>38</v>
      </c>
      <c r="E13" s="39">
        <v>43</v>
      </c>
      <c r="F13" s="46" t="s">
        <v>39</v>
      </c>
      <c r="G13" s="39">
        <v>1100.81</v>
      </c>
      <c r="H13" s="39">
        <v>1137.44</v>
      </c>
      <c r="I13" s="39" t="s">
        <v>25</v>
      </c>
      <c r="J13" s="47">
        <v>0.08</v>
      </c>
      <c r="K13" s="39" t="s">
        <v>40</v>
      </c>
      <c r="L13" s="39" t="s">
        <v>34</v>
      </c>
      <c r="M13" s="39" t="s">
        <v>28</v>
      </c>
      <c r="N13" s="39">
        <f t="shared" si="1"/>
        <v>44997.126400000008</v>
      </c>
      <c r="O13" s="39">
        <f t="shared" si="2"/>
        <v>47334.829999999994</v>
      </c>
      <c r="P13" s="39">
        <f t="shared" si="3"/>
        <v>-2337.7035999999862</v>
      </c>
    </row>
    <row r="14" spans="1:18" x14ac:dyDescent="0.35">
      <c r="A14" s="39" t="s">
        <v>68</v>
      </c>
      <c r="B14" s="45">
        <v>45241</v>
      </c>
      <c r="C14" s="45" t="str">
        <f t="shared" si="0"/>
        <v>Nov</v>
      </c>
      <c r="D14" s="39" t="s">
        <v>32</v>
      </c>
      <c r="E14" s="39">
        <v>21</v>
      </c>
      <c r="F14" s="46" t="s">
        <v>39</v>
      </c>
      <c r="G14" s="39">
        <v>622.01</v>
      </c>
      <c r="H14" s="39">
        <v>641.09</v>
      </c>
      <c r="I14" s="39" t="s">
        <v>25</v>
      </c>
      <c r="J14" s="47">
        <v>0</v>
      </c>
      <c r="K14" s="39" t="s">
        <v>40</v>
      </c>
      <c r="L14" s="39" t="s">
        <v>34</v>
      </c>
      <c r="M14" s="39" t="s">
        <v>41</v>
      </c>
      <c r="N14" s="39">
        <f t="shared" si="1"/>
        <v>13462.890000000001</v>
      </c>
      <c r="O14" s="39">
        <f t="shared" si="2"/>
        <v>13062.21</v>
      </c>
      <c r="P14" s="39">
        <f t="shared" si="3"/>
        <v>400.68000000000211</v>
      </c>
    </row>
    <row r="15" spans="1:18" x14ac:dyDescent="0.35">
      <c r="A15" s="39" t="s">
        <v>69</v>
      </c>
      <c r="B15" s="45">
        <v>45291</v>
      </c>
      <c r="C15" s="45" t="str">
        <f t="shared" si="0"/>
        <v>Dec</v>
      </c>
      <c r="D15" s="39" t="s">
        <v>54</v>
      </c>
      <c r="E15" s="39">
        <v>30</v>
      </c>
      <c r="F15" s="46" t="s">
        <v>24</v>
      </c>
      <c r="G15" s="39">
        <v>4190.28</v>
      </c>
      <c r="H15" s="39">
        <v>4270.6499999999996</v>
      </c>
      <c r="I15" s="39" t="s">
        <v>46</v>
      </c>
      <c r="J15" s="47">
        <v>0.06</v>
      </c>
      <c r="K15" s="39" t="s">
        <v>26</v>
      </c>
      <c r="L15" s="39" t="s">
        <v>34</v>
      </c>
      <c r="M15" s="39" t="s">
        <v>28</v>
      </c>
      <c r="N15" s="39">
        <f t="shared" si="1"/>
        <v>120432.32999999997</v>
      </c>
      <c r="O15" s="39">
        <f t="shared" si="2"/>
        <v>125708.4</v>
      </c>
      <c r="P15" s="39">
        <f t="shared" si="3"/>
        <v>-5276.0700000000215</v>
      </c>
    </row>
    <row r="16" spans="1:18" x14ac:dyDescent="0.35">
      <c r="A16" s="39" t="s">
        <v>71</v>
      </c>
      <c r="B16" s="45">
        <v>45155</v>
      </c>
      <c r="C16" s="45" t="str">
        <f t="shared" si="0"/>
        <v>Aug</v>
      </c>
      <c r="D16" s="39" t="s">
        <v>22</v>
      </c>
      <c r="E16" s="39">
        <v>21</v>
      </c>
      <c r="F16" s="46" t="s">
        <v>39</v>
      </c>
      <c r="G16" s="39">
        <v>2537.1999999999998</v>
      </c>
      <c r="H16" s="39">
        <v>2869.6</v>
      </c>
      <c r="I16" s="39" t="s">
        <v>46</v>
      </c>
      <c r="J16" s="47">
        <v>0.2</v>
      </c>
      <c r="K16" s="39" t="s">
        <v>40</v>
      </c>
      <c r="L16" s="39" t="s">
        <v>34</v>
      </c>
      <c r="M16" s="39" t="s">
        <v>41</v>
      </c>
      <c r="N16" s="39">
        <f t="shared" si="1"/>
        <v>48209.279999999999</v>
      </c>
      <c r="O16" s="39">
        <f t="shared" si="2"/>
        <v>53281.2</v>
      </c>
      <c r="P16" s="39">
        <f t="shared" si="3"/>
        <v>-5071.9199999999983</v>
      </c>
    </row>
    <row r="17" spans="1:16" x14ac:dyDescent="0.35">
      <c r="A17" s="39" t="s">
        <v>73</v>
      </c>
      <c r="B17" s="45">
        <v>45215</v>
      </c>
      <c r="C17" s="45" t="str">
        <f t="shared" si="0"/>
        <v>Oct</v>
      </c>
      <c r="D17" s="39" t="s">
        <v>54</v>
      </c>
      <c r="E17" s="39">
        <v>48</v>
      </c>
      <c r="F17" s="46" t="s">
        <v>24</v>
      </c>
      <c r="G17" s="39">
        <v>121.19</v>
      </c>
      <c r="H17" s="39">
        <v>487.65</v>
      </c>
      <c r="I17" s="39" t="s">
        <v>46</v>
      </c>
      <c r="J17" s="47">
        <v>0.18</v>
      </c>
      <c r="K17" s="39" t="s">
        <v>26</v>
      </c>
      <c r="L17" s="39" t="s">
        <v>27</v>
      </c>
      <c r="M17" s="39" t="s">
        <v>41</v>
      </c>
      <c r="N17" s="39">
        <f t="shared" si="1"/>
        <v>19193.903999999999</v>
      </c>
      <c r="O17" s="39">
        <f t="shared" si="2"/>
        <v>5817.12</v>
      </c>
      <c r="P17" s="39">
        <f t="shared" si="3"/>
        <v>13376.784</v>
      </c>
    </row>
    <row r="18" spans="1:16" x14ac:dyDescent="0.35">
      <c r="A18" s="39" t="s">
        <v>75</v>
      </c>
      <c r="B18" s="45">
        <v>45076</v>
      </c>
      <c r="C18" s="45" t="str">
        <f t="shared" si="0"/>
        <v>May</v>
      </c>
      <c r="D18" s="39" t="s">
        <v>22</v>
      </c>
      <c r="E18" s="39">
        <v>17</v>
      </c>
      <c r="F18" s="46" t="s">
        <v>24</v>
      </c>
      <c r="G18" s="39">
        <v>4024.76</v>
      </c>
      <c r="H18" s="39">
        <v>4420.1499999999996</v>
      </c>
      <c r="I18" s="39" t="s">
        <v>25</v>
      </c>
      <c r="J18" s="47">
        <v>0.04</v>
      </c>
      <c r="K18" s="39" t="s">
        <v>26</v>
      </c>
      <c r="L18" s="39" t="s">
        <v>27</v>
      </c>
      <c r="M18" s="39" t="s">
        <v>41</v>
      </c>
      <c r="N18" s="39">
        <f t="shared" si="1"/>
        <v>72136.847999999984</v>
      </c>
      <c r="O18" s="39">
        <f t="shared" si="2"/>
        <v>68420.92</v>
      </c>
      <c r="P18" s="39">
        <f t="shared" si="3"/>
        <v>3715.9279999999853</v>
      </c>
    </row>
    <row r="19" spans="1:16" x14ac:dyDescent="0.35">
      <c r="A19" s="39" t="s">
        <v>77</v>
      </c>
      <c r="B19" s="45">
        <v>45203</v>
      </c>
      <c r="C19" s="45" t="str">
        <f t="shared" si="0"/>
        <v>Oct</v>
      </c>
      <c r="D19" s="39" t="s">
        <v>32</v>
      </c>
      <c r="E19" s="39">
        <v>40</v>
      </c>
      <c r="F19" s="46" t="s">
        <v>51</v>
      </c>
      <c r="G19" s="39">
        <v>4904.93</v>
      </c>
      <c r="H19" s="39">
        <v>5034.3500000000004</v>
      </c>
      <c r="I19" s="39" t="s">
        <v>46</v>
      </c>
      <c r="J19" s="47">
        <v>0.05</v>
      </c>
      <c r="K19" s="39" t="s">
        <v>47</v>
      </c>
      <c r="L19" s="39" t="s">
        <v>34</v>
      </c>
      <c r="M19" s="39" t="s">
        <v>41</v>
      </c>
      <c r="N19" s="39">
        <f t="shared" si="1"/>
        <v>191305.3</v>
      </c>
      <c r="O19" s="39">
        <f t="shared" si="2"/>
        <v>196197.2</v>
      </c>
      <c r="P19" s="39">
        <f t="shared" si="3"/>
        <v>-4891.9000000000233</v>
      </c>
    </row>
    <row r="20" spans="1:16" x14ac:dyDescent="0.35">
      <c r="A20" s="39" t="s">
        <v>79</v>
      </c>
      <c r="B20" s="45">
        <v>45124</v>
      </c>
      <c r="C20" s="45" t="str">
        <f t="shared" si="0"/>
        <v>Jul</v>
      </c>
      <c r="D20" s="39" t="s">
        <v>81</v>
      </c>
      <c r="E20" s="39">
        <v>19</v>
      </c>
      <c r="F20" s="46" t="s">
        <v>45</v>
      </c>
      <c r="G20" s="39">
        <v>3049.33</v>
      </c>
      <c r="H20" s="39">
        <v>3209.22</v>
      </c>
      <c r="I20" s="39" t="s">
        <v>25</v>
      </c>
      <c r="J20" s="47">
        <v>0.06</v>
      </c>
      <c r="K20" s="39" t="s">
        <v>26</v>
      </c>
      <c r="L20" s="39" t="s">
        <v>34</v>
      </c>
      <c r="M20" s="39" t="s">
        <v>41</v>
      </c>
      <c r="N20" s="39">
        <f t="shared" si="1"/>
        <v>57316.669199999989</v>
      </c>
      <c r="O20" s="39">
        <f t="shared" si="2"/>
        <v>57937.27</v>
      </c>
      <c r="P20" s="39">
        <f t="shared" si="3"/>
        <v>-620.60080000000744</v>
      </c>
    </row>
    <row r="21" spans="1:16" x14ac:dyDescent="0.35">
      <c r="A21" s="39" t="s">
        <v>82</v>
      </c>
      <c r="B21" s="45">
        <v>44996</v>
      </c>
      <c r="C21" s="45" t="str">
        <f t="shared" si="0"/>
        <v>Mar</v>
      </c>
      <c r="D21" s="39" t="s">
        <v>22</v>
      </c>
      <c r="E21" s="39">
        <v>15</v>
      </c>
      <c r="F21" s="46" t="s">
        <v>45</v>
      </c>
      <c r="G21" s="39">
        <v>2543.36</v>
      </c>
      <c r="H21" s="39">
        <v>2790.1</v>
      </c>
      <c r="I21" s="39" t="s">
        <v>25</v>
      </c>
      <c r="J21" s="47">
        <v>7.0000000000000007E-2</v>
      </c>
      <c r="K21" s="39" t="s">
        <v>26</v>
      </c>
      <c r="L21" s="39" t="s">
        <v>34</v>
      </c>
      <c r="M21" s="39" t="s">
        <v>41</v>
      </c>
      <c r="N21" s="39">
        <f t="shared" si="1"/>
        <v>38921.894999999997</v>
      </c>
      <c r="O21" s="39">
        <f t="shared" si="2"/>
        <v>38150.400000000001</v>
      </c>
      <c r="P21" s="39">
        <f t="shared" si="3"/>
        <v>771.49499999999534</v>
      </c>
    </row>
    <row r="22" spans="1:16" x14ac:dyDescent="0.35">
      <c r="A22" s="39" t="s">
        <v>84</v>
      </c>
      <c r="B22" s="45">
        <v>45038</v>
      </c>
      <c r="C22" s="45" t="str">
        <f t="shared" si="0"/>
        <v>Apr</v>
      </c>
      <c r="D22" s="39" t="s">
        <v>54</v>
      </c>
      <c r="E22" s="39">
        <v>9</v>
      </c>
      <c r="F22" s="46" t="s">
        <v>51</v>
      </c>
      <c r="G22" s="39">
        <v>4398.16</v>
      </c>
      <c r="H22" s="39">
        <v>4439.12</v>
      </c>
      <c r="I22" s="39" t="s">
        <v>46</v>
      </c>
      <c r="J22" s="47">
        <v>0.18</v>
      </c>
      <c r="K22" s="39" t="s">
        <v>40</v>
      </c>
      <c r="L22" s="39" t="s">
        <v>27</v>
      </c>
      <c r="M22" s="39" t="s">
        <v>41</v>
      </c>
      <c r="N22" s="39">
        <f t="shared" si="1"/>
        <v>32760.705600000005</v>
      </c>
      <c r="O22" s="39">
        <f t="shared" si="2"/>
        <v>39583.440000000002</v>
      </c>
      <c r="P22" s="39">
        <f t="shared" si="3"/>
        <v>-6822.7343999999975</v>
      </c>
    </row>
    <row r="23" spans="1:16" x14ac:dyDescent="0.35">
      <c r="A23" s="39" t="s">
        <v>85</v>
      </c>
      <c r="B23" s="45">
        <v>44930</v>
      </c>
      <c r="C23" s="45" t="str">
        <f t="shared" si="0"/>
        <v>Jan</v>
      </c>
      <c r="D23" s="39" t="s">
        <v>32</v>
      </c>
      <c r="E23" s="39">
        <v>10</v>
      </c>
      <c r="F23" s="46" t="s">
        <v>51</v>
      </c>
      <c r="G23" s="39">
        <v>4764.96</v>
      </c>
      <c r="H23" s="39">
        <v>5074.42</v>
      </c>
      <c r="I23" s="39" t="s">
        <v>46</v>
      </c>
      <c r="J23" s="47">
        <v>0.12</v>
      </c>
      <c r="K23" s="39" t="s">
        <v>26</v>
      </c>
      <c r="L23" s="39" t="s">
        <v>34</v>
      </c>
      <c r="M23" s="39" t="s">
        <v>41</v>
      </c>
      <c r="N23" s="39">
        <f t="shared" si="1"/>
        <v>44654.896000000001</v>
      </c>
      <c r="O23" s="39">
        <f t="shared" si="2"/>
        <v>47649.599999999999</v>
      </c>
      <c r="P23" s="39">
        <f t="shared" si="3"/>
        <v>-2994.7039999999979</v>
      </c>
    </row>
    <row r="24" spans="1:16" x14ac:dyDescent="0.35">
      <c r="A24" s="39" t="s">
        <v>87</v>
      </c>
      <c r="B24" s="45">
        <v>45276</v>
      </c>
      <c r="C24" s="45" t="str">
        <f t="shared" si="0"/>
        <v>Dec</v>
      </c>
      <c r="D24" s="39" t="s">
        <v>22</v>
      </c>
      <c r="E24" s="39">
        <v>44</v>
      </c>
      <c r="F24" s="46" t="s">
        <v>45</v>
      </c>
      <c r="G24" s="39">
        <v>3784.96</v>
      </c>
      <c r="H24" s="39">
        <v>4276.99</v>
      </c>
      <c r="I24" s="39" t="s">
        <v>46</v>
      </c>
      <c r="J24" s="47">
        <v>0.06</v>
      </c>
      <c r="K24" s="39" t="s">
        <v>40</v>
      </c>
      <c r="L24" s="39" t="s">
        <v>34</v>
      </c>
      <c r="M24" s="39" t="s">
        <v>41</v>
      </c>
      <c r="N24" s="39">
        <f t="shared" si="1"/>
        <v>176896.3064</v>
      </c>
      <c r="O24" s="39">
        <f t="shared" si="2"/>
        <v>166538.23999999999</v>
      </c>
      <c r="P24" s="39">
        <f t="shared" si="3"/>
        <v>10358.066400000011</v>
      </c>
    </row>
    <row r="25" spans="1:16" x14ac:dyDescent="0.35">
      <c r="A25" s="39" t="s">
        <v>88</v>
      </c>
      <c r="B25" s="45">
        <v>45257</v>
      </c>
      <c r="C25" s="45" t="str">
        <f t="shared" si="0"/>
        <v>Nov</v>
      </c>
      <c r="D25" s="39" t="s">
        <v>81</v>
      </c>
      <c r="E25" s="39">
        <v>31</v>
      </c>
      <c r="F25" s="46" t="s">
        <v>24</v>
      </c>
      <c r="G25" s="39">
        <v>2254.9899999999998</v>
      </c>
      <c r="H25" s="39">
        <v>2741.79</v>
      </c>
      <c r="I25" s="39" t="s">
        <v>25</v>
      </c>
      <c r="J25" s="47">
        <v>0.24</v>
      </c>
      <c r="K25" s="39" t="s">
        <v>40</v>
      </c>
      <c r="L25" s="39" t="s">
        <v>34</v>
      </c>
      <c r="M25" s="39" t="s">
        <v>28</v>
      </c>
      <c r="N25" s="39">
        <f t="shared" si="1"/>
        <v>64596.572400000005</v>
      </c>
      <c r="O25" s="39">
        <f t="shared" si="2"/>
        <v>69904.689999999988</v>
      </c>
      <c r="P25" s="39">
        <f t="shared" si="3"/>
        <v>-5308.1175999999832</v>
      </c>
    </row>
    <row r="26" spans="1:16" x14ac:dyDescent="0.35">
      <c r="A26" s="39" t="s">
        <v>90</v>
      </c>
      <c r="B26" s="45">
        <v>45244</v>
      </c>
      <c r="C26" s="45" t="str">
        <f t="shared" si="0"/>
        <v>Nov</v>
      </c>
      <c r="D26" s="39" t="s">
        <v>81</v>
      </c>
      <c r="E26" s="39">
        <v>23</v>
      </c>
      <c r="F26" s="46" t="s">
        <v>24</v>
      </c>
      <c r="G26" s="39">
        <v>2981.5</v>
      </c>
      <c r="H26" s="39">
        <v>4860.3999999999996</v>
      </c>
      <c r="I26" s="39" t="s">
        <v>25</v>
      </c>
      <c r="J26" s="47">
        <v>0.22</v>
      </c>
      <c r="K26" s="39" t="s">
        <v>40</v>
      </c>
      <c r="L26" s="39" t="s">
        <v>27</v>
      </c>
      <c r="M26" s="39" t="s">
        <v>35</v>
      </c>
      <c r="N26" s="39">
        <f t="shared" si="1"/>
        <v>87195.576000000001</v>
      </c>
      <c r="O26" s="39">
        <f t="shared" si="2"/>
        <v>68574.5</v>
      </c>
      <c r="P26" s="39">
        <f t="shared" si="3"/>
        <v>18621.076000000001</v>
      </c>
    </row>
    <row r="27" spans="1:16" x14ac:dyDescent="0.35">
      <c r="A27" s="39" t="s">
        <v>92</v>
      </c>
      <c r="B27" s="45">
        <v>45276</v>
      </c>
      <c r="C27" s="45" t="str">
        <f t="shared" si="0"/>
        <v>Dec</v>
      </c>
      <c r="D27" s="39" t="s">
        <v>38</v>
      </c>
      <c r="E27" s="39">
        <v>30</v>
      </c>
      <c r="F27" s="46" t="s">
        <v>45</v>
      </c>
      <c r="G27" s="39">
        <v>3519.63</v>
      </c>
      <c r="H27" s="39">
        <v>4774.6499999999996</v>
      </c>
      <c r="I27" s="39" t="s">
        <v>46</v>
      </c>
      <c r="J27" s="47">
        <v>0.2</v>
      </c>
      <c r="K27" s="39" t="s">
        <v>47</v>
      </c>
      <c r="L27" s="39" t="s">
        <v>34</v>
      </c>
      <c r="M27" s="39" t="s">
        <v>41</v>
      </c>
      <c r="N27" s="39">
        <f t="shared" si="1"/>
        <v>114591.6</v>
      </c>
      <c r="O27" s="39">
        <f t="shared" si="2"/>
        <v>105588.90000000001</v>
      </c>
      <c r="P27" s="39">
        <f t="shared" si="3"/>
        <v>9002.6999999999971</v>
      </c>
    </row>
    <row r="28" spans="1:16" x14ac:dyDescent="0.35">
      <c r="A28" s="39" t="s">
        <v>94</v>
      </c>
      <c r="B28" s="45">
        <v>45021</v>
      </c>
      <c r="C28" s="45" t="str">
        <f t="shared" si="0"/>
        <v>Apr</v>
      </c>
      <c r="D28" s="39" t="s">
        <v>38</v>
      </c>
      <c r="E28" s="39">
        <v>33</v>
      </c>
      <c r="F28" s="46" t="s">
        <v>24</v>
      </c>
      <c r="G28" s="39">
        <v>1011.65</v>
      </c>
      <c r="H28" s="39">
        <v>1084.28</v>
      </c>
      <c r="I28" s="39" t="s">
        <v>25</v>
      </c>
      <c r="J28" s="47">
        <v>7.0000000000000007E-2</v>
      </c>
      <c r="K28" s="39" t="s">
        <v>40</v>
      </c>
      <c r="L28" s="39" t="s">
        <v>27</v>
      </c>
      <c r="M28" s="39" t="s">
        <v>35</v>
      </c>
      <c r="N28" s="39">
        <f t="shared" si="1"/>
        <v>33276.553199999995</v>
      </c>
      <c r="O28" s="39">
        <f t="shared" si="2"/>
        <v>33384.449999999997</v>
      </c>
      <c r="P28" s="39">
        <f t="shared" si="3"/>
        <v>-107.89680000000226</v>
      </c>
    </row>
    <row r="29" spans="1:16" x14ac:dyDescent="0.35">
      <c r="A29" s="39" t="s">
        <v>96</v>
      </c>
      <c r="B29" s="45">
        <v>45078</v>
      </c>
      <c r="C29" s="45" t="str">
        <f t="shared" si="0"/>
        <v>Jun</v>
      </c>
      <c r="D29" s="39" t="s">
        <v>54</v>
      </c>
      <c r="E29" s="39">
        <v>9</v>
      </c>
      <c r="F29" s="46" t="s">
        <v>51</v>
      </c>
      <c r="G29" s="39">
        <v>2263.65</v>
      </c>
      <c r="H29" s="39">
        <v>2558.9499999999998</v>
      </c>
      <c r="I29" s="39" t="s">
        <v>46</v>
      </c>
      <c r="J29" s="47">
        <v>0.03</v>
      </c>
      <c r="K29" s="39" t="s">
        <v>26</v>
      </c>
      <c r="L29" s="39" t="s">
        <v>27</v>
      </c>
      <c r="M29" s="39" t="s">
        <v>41</v>
      </c>
      <c r="N29" s="39">
        <f t="shared" si="1"/>
        <v>22339.6335</v>
      </c>
      <c r="O29" s="39">
        <f t="shared" si="2"/>
        <v>20372.850000000002</v>
      </c>
      <c r="P29" s="39">
        <f t="shared" si="3"/>
        <v>1966.7834999999977</v>
      </c>
    </row>
    <row r="30" spans="1:16" x14ac:dyDescent="0.35">
      <c r="A30" s="39" t="s">
        <v>98</v>
      </c>
      <c r="B30" s="45">
        <v>45237</v>
      </c>
      <c r="C30" s="45" t="str">
        <f t="shared" si="0"/>
        <v>Nov</v>
      </c>
      <c r="D30" s="39" t="s">
        <v>22</v>
      </c>
      <c r="E30" s="39">
        <v>47</v>
      </c>
      <c r="F30" s="46" t="s">
        <v>24</v>
      </c>
      <c r="G30" s="39">
        <v>4157.62</v>
      </c>
      <c r="H30" s="39">
        <v>5214.5600000000004</v>
      </c>
      <c r="I30" s="39" t="s">
        <v>46</v>
      </c>
      <c r="J30" s="47">
        <v>0.17</v>
      </c>
      <c r="K30" s="39" t="s">
        <v>40</v>
      </c>
      <c r="L30" s="39" t="s">
        <v>27</v>
      </c>
      <c r="M30" s="39" t="s">
        <v>41</v>
      </c>
      <c r="N30" s="39">
        <f t="shared" si="1"/>
        <v>203419.98559999999</v>
      </c>
      <c r="O30" s="39">
        <f t="shared" si="2"/>
        <v>195408.13999999998</v>
      </c>
      <c r="P30" s="39">
        <f t="shared" si="3"/>
        <v>8011.8456000000006</v>
      </c>
    </row>
    <row r="31" spans="1:16" x14ac:dyDescent="0.35">
      <c r="A31" s="39" t="s">
        <v>101</v>
      </c>
      <c r="B31" s="45">
        <v>45063</v>
      </c>
      <c r="C31" s="45" t="str">
        <f t="shared" si="0"/>
        <v>May</v>
      </c>
      <c r="D31" s="39" t="s">
        <v>22</v>
      </c>
      <c r="E31" s="39">
        <v>1</v>
      </c>
      <c r="F31" s="46" t="s">
        <v>24</v>
      </c>
      <c r="G31" s="39">
        <v>3290.89</v>
      </c>
      <c r="H31" s="39">
        <v>3317.75</v>
      </c>
      <c r="I31" s="39" t="s">
        <v>25</v>
      </c>
      <c r="J31" s="47">
        <v>0.17</v>
      </c>
      <c r="K31" s="39" t="s">
        <v>40</v>
      </c>
      <c r="L31" s="39" t="s">
        <v>27</v>
      </c>
      <c r="M31" s="39" t="s">
        <v>28</v>
      </c>
      <c r="N31" s="39">
        <f t="shared" si="1"/>
        <v>2753.7325000000001</v>
      </c>
      <c r="O31" s="39">
        <f t="shared" si="2"/>
        <v>3290.89</v>
      </c>
      <c r="P31" s="39">
        <f t="shared" si="3"/>
        <v>-537.1574999999998</v>
      </c>
    </row>
    <row r="32" spans="1:16" x14ac:dyDescent="0.35">
      <c r="A32" s="39" t="s">
        <v>103</v>
      </c>
      <c r="B32" s="45">
        <v>45173</v>
      </c>
      <c r="C32" s="45" t="str">
        <f t="shared" si="0"/>
        <v>Sep</v>
      </c>
      <c r="D32" s="39" t="s">
        <v>38</v>
      </c>
      <c r="E32" s="39">
        <v>44</v>
      </c>
      <c r="F32" s="46" t="s">
        <v>39</v>
      </c>
      <c r="G32" s="39">
        <v>2085.46</v>
      </c>
      <c r="H32" s="39">
        <v>2406.58</v>
      </c>
      <c r="I32" s="39" t="s">
        <v>25</v>
      </c>
      <c r="J32" s="47">
        <v>0.06</v>
      </c>
      <c r="K32" s="39" t="s">
        <v>40</v>
      </c>
      <c r="L32" s="39" t="s">
        <v>27</v>
      </c>
      <c r="M32" s="39" t="s">
        <v>28</v>
      </c>
      <c r="N32" s="39">
        <f t="shared" si="1"/>
        <v>99536.148799999981</v>
      </c>
      <c r="O32" s="39">
        <f t="shared" si="2"/>
        <v>91760.24</v>
      </c>
      <c r="P32" s="39">
        <f t="shared" si="3"/>
        <v>7775.9087999999756</v>
      </c>
    </row>
    <row r="33" spans="1:16" x14ac:dyDescent="0.35">
      <c r="A33" s="39" t="s">
        <v>105</v>
      </c>
      <c r="B33" s="45">
        <v>45169</v>
      </c>
      <c r="C33" s="45" t="str">
        <f t="shared" si="0"/>
        <v>Aug</v>
      </c>
      <c r="D33" s="39" t="s">
        <v>22</v>
      </c>
      <c r="E33" s="39">
        <v>35</v>
      </c>
      <c r="F33" s="46" t="s">
        <v>39</v>
      </c>
      <c r="G33" s="39">
        <v>3333.64</v>
      </c>
      <c r="H33" s="39">
        <v>3764.52</v>
      </c>
      <c r="I33" s="39" t="s">
        <v>25</v>
      </c>
      <c r="J33" s="47">
        <v>0.02</v>
      </c>
      <c r="K33" s="39" t="s">
        <v>47</v>
      </c>
      <c r="L33" s="39" t="s">
        <v>27</v>
      </c>
      <c r="M33" s="39" t="s">
        <v>35</v>
      </c>
      <c r="N33" s="39">
        <f t="shared" si="1"/>
        <v>129123.03600000001</v>
      </c>
      <c r="O33" s="39">
        <f t="shared" si="2"/>
        <v>116677.4</v>
      </c>
      <c r="P33" s="39">
        <f t="shared" si="3"/>
        <v>12445.636000000013</v>
      </c>
    </row>
    <row r="34" spans="1:16" x14ac:dyDescent="0.35">
      <c r="A34" s="39" t="s">
        <v>107</v>
      </c>
      <c r="B34" s="45">
        <v>44957</v>
      </c>
      <c r="C34" s="45" t="str">
        <f t="shared" si="0"/>
        <v>Jan</v>
      </c>
      <c r="D34" s="39" t="s">
        <v>22</v>
      </c>
      <c r="E34" s="39">
        <v>11</v>
      </c>
      <c r="F34" s="46" t="s">
        <v>39</v>
      </c>
      <c r="G34" s="39">
        <v>635.20000000000005</v>
      </c>
      <c r="H34" s="39">
        <v>814.14</v>
      </c>
      <c r="I34" s="39" t="s">
        <v>25</v>
      </c>
      <c r="J34" s="47">
        <v>0.02</v>
      </c>
      <c r="K34" s="39" t="s">
        <v>26</v>
      </c>
      <c r="L34" s="39" t="s">
        <v>34</v>
      </c>
      <c r="M34" s="39" t="s">
        <v>28</v>
      </c>
      <c r="N34" s="39">
        <f t="shared" si="1"/>
        <v>8776.4291999999987</v>
      </c>
      <c r="O34" s="39">
        <f t="shared" si="2"/>
        <v>6987.2000000000007</v>
      </c>
      <c r="P34" s="39">
        <f t="shared" si="3"/>
        <v>1789.2291999999979</v>
      </c>
    </row>
    <row r="35" spans="1:16" x14ac:dyDescent="0.35">
      <c r="A35" s="39" t="s">
        <v>109</v>
      </c>
      <c r="B35" s="45">
        <v>44966</v>
      </c>
      <c r="C35" s="45" t="str">
        <f t="shared" si="0"/>
        <v>Feb</v>
      </c>
      <c r="D35" s="39" t="s">
        <v>81</v>
      </c>
      <c r="E35" s="39">
        <v>34</v>
      </c>
      <c r="F35" s="46" t="s">
        <v>24</v>
      </c>
      <c r="G35" s="39">
        <v>2037.41</v>
      </c>
      <c r="H35" s="39">
        <v>2238.65</v>
      </c>
      <c r="I35" s="39" t="s">
        <v>46</v>
      </c>
      <c r="J35" s="47">
        <v>0.3</v>
      </c>
      <c r="K35" s="39" t="s">
        <v>47</v>
      </c>
      <c r="L35" s="39" t="s">
        <v>34</v>
      </c>
      <c r="M35" s="39" t="s">
        <v>28</v>
      </c>
      <c r="N35" s="39">
        <f t="shared" si="1"/>
        <v>53279.87</v>
      </c>
      <c r="O35" s="39">
        <f t="shared" si="2"/>
        <v>69271.94</v>
      </c>
      <c r="P35" s="39">
        <f t="shared" si="3"/>
        <v>-15992.07</v>
      </c>
    </row>
    <row r="36" spans="1:16" x14ac:dyDescent="0.35">
      <c r="A36" s="39" t="s">
        <v>111</v>
      </c>
      <c r="B36" s="45">
        <v>45155</v>
      </c>
      <c r="C36" s="45" t="str">
        <f t="shared" si="0"/>
        <v>Aug</v>
      </c>
      <c r="D36" s="39" t="s">
        <v>38</v>
      </c>
      <c r="E36" s="39">
        <v>16</v>
      </c>
      <c r="F36" s="46" t="s">
        <v>45</v>
      </c>
      <c r="G36" s="39">
        <v>3975.99</v>
      </c>
      <c r="H36" s="39">
        <v>4422.59</v>
      </c>
      <c r="I36" s="39" t="s">
        <v>46</v>
      </c>
      <c r="J36" s="47">
        <v>0.24</v>
      </c>
      <c r="K36" s="39" t="s">
        <v>26</v>
      </c>
      <c r="L36" s="39" t="s">
        <v>34</v>
      </c>
      <c r="M36" s="39" t="s">
        <v>35</v>
      </c>
      <c r="N36" s="39">
        <f t="shared" si="1"/>
        <v>53778.6944</v>
      </c>
      <c r="O36" s="39">
        <f t="shared" si="2"/>
        <v>63615.839999999997</v>
      </c>
      <c r="P36" s="39">
        <f t="shared" si="3"/>
        <v>-9837.1455999999962</v>
      </c>
    </row>
    <row r="37" spans="1:16" x14ac:dyDescent="0.35">
      <c r="A37" s="39" t="s">
        <v>113</v>
      </c>
      <c r="B37" s="45">
        <v>44962</v>
      </c>
      <c r="C37" s="45" t="str">
        <f t="shared" si="0"/>
        <v>Feb</v>
      </c>
      <c r="D37" s="39" t="s">
        <v>32</v>
      </c>
      <c r="E37" s="39">
        <v>9</v>
      </c>
      <c r="F37" s="46" t="s">
        <v>51</v>
      </c>
      <c r="G37" s="39">
        <v>1141.52</v>
      </c>
      <c r="H37" s="39">
        <v>1550.19</v>
      </c>
      <c r="I37" s="39" t="s">
        <v>46</v>
      </c>
      <c r="J37" s="47">
        <v>0.28000000000000003</v>
      </c>
      <c r="K37" s="39" t="s">
        <v>47</v>
      </c>
      <c r="L37" s="39" t="s">
        <v>27</v>
      </c>
      <c r="M37" s="39" t="s">
        <v>28</v>
      </c>
      <c r="N37" s="39">
        <f t="shared" si="1"/>
        <v>10045.2312</v>
      </c>
      <c r="O37" s="39">
        <f t="shared" si="2"/>
        <v>10273.68</v>
      </c>
      <c r="P37" s="39">
        <f t="shared" si="3"/>
        <v>-228.44880000000012</v>
      </c>
    </row>
    <row r="38" spans="1:16" x14ac:dyDescent="0.35">
      <c r="A38" s="39" t="s">
        <v>114</v>
      </c>
      <c r="B38" s="45">
        <v>45149</v>
      </c>
      <c r="C38" s="45" t="str">
        <f t="shared" si="0"/>
        <v>Aug</v>
      </c>
      <c r="D38" s="39" t="s">
        <v>38</v>
      </c>
      <c r="E38" s="39">
        <v>32</v>
      </c>
      <c r="F38" s="46" t="s">
        <v>24</v>
      </c>
      <c r="G38" s="39">
        <v>970.51</v>
      </c>
      <c r="H38" s="39">
        <v>1330.84</v>
      </c>
      <c r="I38" s="39" t="s">
        <v>25</v>
      </c>
      <c r="J38" s="47">
        <v>0.06</v>
      </c>
      <c r="K38" s="39" t="s">
        <v>26</v>
      </c>
      <c r="L38" s="39" t="s">
        <v>34</v>
      </c>
      <c r="M38" s="39" t="s">
        <v>41</v>
      </c>
      <c r="N38" s="39">
        <f t="shared" si="1"/>
        <v>40031.667199999996</v>
      </c>
      <c r="O38" s="39">
        <f t="shared" si="2"/>
        <v>31056.32</v>
      </c>
      <c r="P38" s="39">
        <f t="shared" si="3"/>
        <v>8975.3471999999965</v>
      </c>
    </row>
    <row r="39" spans="1:16" x14ac:dyDescent="0.35">
      <c r="A39" s="39" t="s">
        <v>116</v>
      </c>
      <c r="B39" s="45">
        <v>44932</v>
      </c>
      <c r="C39" s="45" t="str">
        <f t="shared" si="0"/>
        <v>Jan</v>
      </c>
      <c r="D39" s="39" t="s">
        <v>32</v>
      </c>
      <c r="E39" s="39">
        <v>15</v>
      </c>
      <c r="F39" s="46" t="s">
        <v>45</v>
      </c>
      <c r="G39" s="39">
        <v>4756.55</v>
      </c>
      <c r="H39" s="39">
        <v>4888.46</v>
      </c>
      <c r="I39" s="39" t="s">
        <v>46</v>
      </c>
      <c r="J39" s="47">
        <v>0.28999999999999998</v>
      </c>
      <c r="K39" s="39" t="s">
        <v>47</v>
      </c>
      <c r="L39" s="39" t="s">
        <v>27</v>
      </c>
      <c r="M39" s="39" t="s">
        <v>35</v>
      </c>
      <c r="N39" s="39">
        <f t="shared" si="1"/>
        <v>52062.098999999995</v>
      </c>
      <c r="O39" s="39">
        <f t="shared" si="2"/>
        <v>71348.25</v>
      </c>
      <c r="P39" s="39">
        <f t="shared" si="3"/>
        <v>-19286.151000000005</v>
      </c>
    </row>
    <row r="40" spans="1:16" x14ac:dyDescent="0.35">
      <c r="A40" s="39" t="s">
        <v>118</v>
      </c>
      <c r="B40" s="45">
        <v>45248</v>
      </c>
      <c r="C40" s="45" t="str">
        <f t="shared" si="0"/>
        <v>Nov</v>
      </c>
      <c r="D40" s="39" t="s">
        <v>81</v>
      </c>
      <c r="E40" s="39">
        <v>12</v>
      </c>
      <c r="F40" s="46" t="s">
        <v>24</v>
      </c>
      <c r="G40" s="39">
        <v>1088.99</v>
      </c>
      <c r="H40" s="39">
        <v>1545</v>
      </c>
      <c r="I40" s="39" t="s">
        <v>25</v>
      </c>
      <c r="J40" s="47">
        <v>0.04</v>
      </c>
      <c r="K40" s="39" t="s">
        <v>40</v>
      </c>
      <c r="L40" s="39" t="s">
        <v>27</v>
      </c>
      <c r="M40" s="39" t="s">
        <v>35</v>
      </c>
      <c r="N40" s="39">
        <f t="shared" si="1"/>
        <v>17798.399999999998</v>
      </c>
      <c r="O40" s="39">
        <f t="shared" si="2"/>
        <v>13067.880000000001</v>
      </c>
      <c r="P40" s="39">
        <f t="shared" si="3"/>
        <v>4730.5199999999968</v>
      </c>
    </row>
    <row r="41" spans="1:16" x14ac:dyDescent="0.35">
      <c r="A41" s="39" t="s">
        <v>120</v>
      </c>
      <c r="B41" s="45">
        <v>45146</v>
      </c>
      <c r="C41" s="45" t="str">
        <f t="shared" si="0"/>
        <v>Aug</v>
      </c>
      <c r="D41" s="39" t="s">
        <v>54</v>
      </c>
      <c r="E41" s="39">
        <v>33</v>
      </c>
      <c r="F41" s="46" t="s">
        <v>51</v>
      </c>
      <c r="G41" s="39">
        <v>1341.55</v>
      </c>
      <c r="H41" s="39">
        <v>1427.21</v>
      </c>
      <c r="I41" s="39" t="s">
        <v>25</v>
      </c>
      <c r="J41" s="47">
        <v>0.15</v>
      </c>
      <c r="K41" s="39" t="s">
        <v>47</v>
      </c>
      <c r="L41" s="39" t="s">
        <v>27</v>
      </c>
      <c r="M41" s="39" t="s">
        <v>41</v>
      </c>
      <c r="N41" s="39">
        <f t="shared" si="1"/>
        <v>40033.2405</v>
      </c>
      <c r="O41" s="39">
        <f t="shared" si="2"/>
        <v>44271.15</v>
      </c>
      <c r="P41" s="39">
        <f t="shared" si="3"/>
        <v>-4237.9095000000016</v>
      </c>
    </row>
    <row r="42" spans="1:16" x14ac:dyDescent="0.35">
      <c r="A42" s="39" t="s">
        <v>122</v>
      </c>
      <c r="B42" s="45">
        <v>45001</v>
      </c>
      <c r="C42" s="45" t="str">
        <f t="shared" si="0"/>
        <v>Mar</v>
      </c>
      <c r="D42" s="39" t="s">
        <v>22</v>
      </c>
      <c r="E42" s="39">
        <v>45</v>
      </c>
      <c r="F42" s="46" t="s">
        <v>24</v>
      </c>
      <c r="G42" s="39">
        <v>4849.6000000000004</v>
      </c>
      <c r="H42" s="39">
        <v>5166.72</v>
      </c>
      <c r="I42" s="39" t="s">
        <v>25</v>
      </c>
      <c r="J42" s="47">
        <v>0.15</v>
      </c>
      <c r="K42" s="39" t="s">
        <v>47</v>
      </c>
      <c r="L42" s="39" t="s">
        <v>34</v>
      </c>
      <c r="M42" s="39" t="s">
        <v>28</v>
      </c>
      <c r="N42" s="39">
        <f t="shared" si="1"/>
        <v>197627.04</v>
      </c>
      <c r="O42" s="39">
        <f t="shared" si="2"/>
        <v>218232.00000000003</v>
      </c>
      <c r="P42" s="39">
        <f t="shared" si="3"/>
        <v>-20604.960000000021</v>
      </c>
    </row>
    <row r="43" spans="1:16" x14ac:dyDescent="0.35">
      <c r="A43" s="39" t="s">
        <v>124</v>
      </c>
      <c r="B43" s="45">
        <v>44930</v>
      </c>
      <c r="C43" s="45" t="str">
        <f t="shared" si="0"/>
        <v>Jan</v>
      </c>
      <c r="D43" s="39" t="s">
        <v>81</v>
      </c>
      <c r="E43" s="39">
        <v>14</v>
      </c>
      <c r="F43" s="46" t="s">
        <v>51</v>
      </c>
      <c r="G43" s="39">
        <v>3686.81</v>
      </c>
      <c r="H43" s="39">
        <v>3710.92</v>
      </c>
      <c r="I43" s="39" t="s">
        <v>46</v>
      </c>
      <c r="J43" s="47">
        <v>0</v>
      </c>
      <c r="K43" s="39" t="s">
        <v>40</v>
      </c>
      <c r="L43" s="39" t="s">
        <v>27</v>
      </c>
      <c r="M43" s="39" t="s">
        <v>35</v>
      </c>
      <c r="N43" s="39">
        <f t="shared" si="1"/>
        <v>51952.880000000005</v>
      </c>
      <c r="O43" s="39">
        <f t="shared" si="2"/>
        <v>51615.34</v>
      </c>
      <c r="P43" s="39">
        <f t="shared" si="3"/>
        <v>337.54000000000815</v>
      </c>
    </row>
    <row r="44" spans="1:16" x14ac:dyDescent="0.35">
      <c r="A44" s="39" t="s">
        <v>126</v>
      </c>
      <c r="B44" s="45">
        <v>45261</v>
      </c>
      <c r="C44" s="45" t="str">
        <f t="shared" si="0"/>
        <v>Dec</v>
      </c>
      <c r="D44" s="39" t="s">
        <v>22</v>
      </c>
      <c r="E44" s="39">
        <v>8</v>
      </c>
      <c r="F44" s="46" t="s">
        <v>24</v>
      </c>
      <c r="G44" s="39">
        <v>3513</v>
      </c>
      <c r="H44" s="39">
        <v>3838.42</v>
      </c>
      <c r="I44" s="39" t="s">
        <v>25</v>
      </c>
      <c r="J44" s="47">
        <v>0.13</v>
      </c>
      <c r="K44" s="39" t="s">
        <v>40</v>
      </c>
      <c r="L44" s="39" t="s">
        <v>27</v>
      </c>
      <c r="M44" s="39" t="s">
        <v>35</v>
      </c>
      <c r="N44" s="39">
        <f t="shared" si="1"/>
        <v>26715.403200000001</v>
      </c>
      <c r="O44" s="39">
        <f t="shared" si="2"/>
        <v>28104</v>
      </c>
      <c r="P44" s="39">
        <f t="shared" si="3"/>
        <v>-1388.5967999999993</v>
      </c>
    </row>
    <row r="45" spans="1:16" x14ac:dyDescent="0.35">
      <c r="A45" s="39" t="s">
        <v>128</v>
      </c>
      <c r="B45" s="45">
        <v>45060</v>
      </c>
      <c r="C45" s="45" t="str">
        <f t="shared" si="0"/>
        <v>May</v>
      </c>
      <c r="D45" s="39" t="s">
        <v>54</v>
      </c>
      <c r="E45" s="39">
        <v>8</v>
      </c>
      <c r="F45" s="46" t="s">
        <v>51</v>
      </c>
      <c r="G45" s="39">
        <v>4271.99</v>
      </c>
      <c r="H45" s="39">
        <v>4417.79</v>
      </c>
      <c r="I45" s="39" t="s">
        <v>25</v>
      </c>
      <c r="J45" s="47">
        <v>0.04</v>
      </c>
      <c r="K45" s="39" t="s">
        <v>26</v>
      </c>
      <c r="L45" s="39" t="s">
        <v>34</v>
      </c>
      <c r="M45" s="39" t="s">
        <v>41</v>
      </c>
      <c r="N45" s="39">
        <f t="shared" si="1"/>
        <v>33928.627199999995</v>
      </c>
      <c r="O45" s="39">
        <f t="shared" si="2"/>
        <v>34175.919999999998</v>
      </c>
      <c r="P45" s="39">
        <f t="shared" si="3"/>
        <v>-247.2928000000029</v>
      </c>
    </row>
    <row r="46" spans="1:16" x14ac:dyDescent="0.35">
      <c r="A46" s="39" t="s">
        <v>130</v>
      </c>
      <c r="B46" s="45">
        <v>45044</v>
      </c>
      <c r="C46" s="45" t="str">
        <f t="shared" si="0"/>
        <v>Apr</v>
      </c>
      <c r="D46" s="39" t="s">
        <v>54</v>
      </c>
      <c r="E46" s="39">
        <v>27</v>
      </c>
      <c r="F46" s="46" t="s">
        <v>24</v>
      </c>
      <c r="G46" s="39">
        <v>623.32000000000005</v>
      </c>
      <c r="H46" s="39">
        <v>853.66</v>
      </c>
      <c r="I46" s="39" t="s">
        <v>25</v>
      </c>
      <c r="J46" s="47">
        <v>0.04</v>
      </c>
      <c r="K46" s="39" t="s">
        <v>26</v>
      </c>
      <c r="L46" s="39" t="s">
        <v>34</v>
      </c>
      <c r="M46" s="39" t="s">
        <v>41</v>
      </c>
      <c r="N46" s="39">
        <f t="shared" si="1"/>
        <v>22126.867200000001</v>
      </c>
      <c r="O46" s="39">
        <f t="shared" si="2"/>
        <v>16829.640000000003</v>
      </c>
      <c r="P46" s="39">
        <f t="shared" si="3"/>
        <v>5297.2271999999975</v>
      </c>
    </row>
    <row r="47" spans="1:16" x14ac:dyDescent="0.35">
      <c r="A47" s="39" t="s">
        <v>132</v>
      </c>
      <c r="B47" s="45">
        <v>45020</v>
      </c>
      <c r="C47" s="45" t="str">
        <f t="shared" si="0"/>
        <v>Apr</v>
      </c>
      <c r="D47" s="39" t="s">
        <v>81</v>
      </c>
      <c r="E47" s="39">
        <v>12</v>
      </c>
      <c r="F47" s="46" t="s">
        <v>51</v>
      </c>
      <c r="G47" s="39">
        <v>3544.48</v>
      </c>
      <c r="H47" s="39">
        <v>3723.66</v>
      </c>
      <c r="I47" s="39" t="s">
        <v>25</v>
      </c>
      <c r="J47" s="47">
        <v>0.06</v>
      </c>
      <c r="K47" s="39" t="s">
        <v>26</v>
      </c>
      <c r="L47" s="39" t="s">
        <v>27</v>
      </c>
      <c r="M47" s="39" t="s">
        <v>28</v>
      </c>
      <c r="N47" s="39">
        <f t="shared" si="1"/>
        <v>42002.884799999993</v>
      </c>
      <c r="O47" s="39">
        <f t="shared" si="2"/>
        <v>42533.760000000002</v>
      </c>
      <c r="P47" s="39">
        <f t="shared" si="3"/>
        <v>-530.8752000000095</v>
      </c>
    </row>
    <row r="48" spans="1:16" x14ac:dyDescent="0.35">
      <c r="A48" s="39" t="s">
        <v>133</v>
      </c>
      <c r="B48" s="45">
        <v>44988</v>
      </c>
      <c r="C48" s="45" t="str">
        <f t="shared" si="0"/>
        <v>Mar</v>
      </c>
      <c r="D48" s="39" t="s">
        <v>54</v>
      </c>
      <c r="E48" s="39">
        <v>1</v>
      </c>
      <c r="F48" s="46" t="s">
        <v>39</v>
      </c>
      <c r="G48" s="39">
        <v>2543.2600000000002</v>
      </c>
      <c r="H48" s="39">
        <v>2637.91</v>
      </c>
      <c r="I48" s="39" t="s">
        <v>25</v>
      </c>
      <c r="J48" s="47">
        <v>0.2</v>
      </c>
      <c r="K48" s="39" t="s">
        <v>47</v>
      </c>
      <c r="L48" s="39" t="s">
        <v>27</v>
      </c>
      <c r="M48" s="39" t="s">
        <v>35</v>
      </c>
      <c r="N48" s="39">
        <f t="shared" si="1"/>
        <v>2110.328</v>
      </c>
      <c r="O48" s="39">
        <f t="shared" si="2"/>
        <v>2543.2600000000002</v>
      </c>
      <c r="P48" s="39">
        <f t="shared" si="3"/>
        <v>-432.93200000000024</v>
      </c>
    </row>
    <row r="49" spans="1:16" x14ac:dyDescent="0.35">
      <c r="A49" s="39" t="s">
        <v>134</v>
      </c>
      <c r="B49" s="45">
        <v>45120</v>
      </c>
      <c r="C49" s="45" t="str">
        <f t="shared" si="0"/>
        <v>Jul</v>
      </c>
      <c r="D49" s="39" t="s">
        <v>32</v>
      </c>
      <c r="E49" s="39">
        <v>43</v>
      </c>
      <c r="F49" s="46" t="s">
        <v>24</v>
      </c>
      <c r="G49" s="39">
        <v>4154.3</v>
      </c>
      <c r="H49" s="39">
        <v>4469.07</v>
      </c>
      <c r="I49" s="39" t="s">
        <v>25</v>
      </c>
      <c r="J49" s="47">
        <v>0.05</v>
      </c>
      <c r="K49" s="39" t="s">
        <v>26</v>
      </c>
      <c r="L49" s="39" t="s">
        <v>34</v>
      </c>
      <c r="M49" s="39" t="s">
        <v>28</v>
      </c>
      <c r="N49" s="39">
        <f t="shared" si="1"/>
        <v>182561.50949999999</v>
      </c>
      <c r="O49" s="39">
        <f t="shared" si="2"/>
        <v>178634.9</v>
      </c>
      <c r="P49" s="39">
        <f t="shared" si="3"/>
        <v>3926.6094999999914</v>
      </c>
    </row>
    <row r="50" spans="1:16" x14ac:dyDescent="0.35">
      <c r="A50" s="39" t="s">
        <v>136</v>
      </c>
      <c r="B50" s="45">
        <v>45261</v>
      </c>
      <c r="C50" s="45" t="str">
        <f t="shared" si="0"/>
        <v>Dec</v>
      </c>
      <c r="D50" s="39" t="s">
        <v>54</v>
      </c>
      <c r="E50" s="39">
        <v>40</v>
      </c>
      <c r="F50" s="46" t="s">
        <v>24</v>
      </c>
      <c r="G50" s="39">
        <v>2565.3000000000002</v>
      </c>
      <c r="H50" s="39">
        <v>3007.47</v>
      </c>
      <c r="I50" s="39" t="s">
        <v>25</v>
      </c>
      <c r="J50" s="47">
        <v>0.17</v>
      </c>
      <c r="K50" s="39" t="s">
        <v>47</v>
      </c>
      <c r="L50" s="39" t="s">
        <v>34</v>
      </c>
      <c r="M50" s="39" t="s">
        <v>28</v>
      </c>
      <c r="N50" s="39">
        <f t="shared" si="1"/>
        <v>99848.003999999986</v>
      </c>
      <c r="O50" s="39">
        <f t="shared" si="2"/>
        <v>102612</v>
      </c>
      <c r="P50" s="39">
        <f t="shared" si="3"/>
        <v>-2763.9960000000137</v>
      </c>
    </row>
    <row r="51" spans="1:16" x14ac:dyDescent="0.35">
      <c r="A51" s="39" t="s">
        <v>138</v>
      </c>
      <c r="B51" s="45">
        <v>45129</v>
      </c>
      <c r="C51" s="45" t="str">
        <f t="shared" si="0"/>
        <v>Jul</v>
      </c>
      <c r="D51" s="39" t="s">
        <v>22</v>
      </c>
      <c r="E51" s="39">
        <v>42</v>
      </c>
      <c r="F51" s="46" t="s">
        <v>45</v>
      </c>
      <c r="G51" s="39">
        <v>3120.19</v>
      </c>
      <c r="H51" s="39">
        <v>3600.14</v>
      </c>
      <c r="I51" s="39" t="s">
        <v>25</v>
      </c>
      <c r="J51" s="47">
        <v>0.19</v>
      </c>
      <c r="K51" s="39" t="s">
        <v>47</v>
      </c>
      <c r="L51" s="39" t="s">
        <v>34</v>
      </c>
      <c r="M51" s="39" t="s">
        <v>41</v>
      </c>
      <c r="N51" s="39">
        <f t="shared" si="1"/>
        <v>122476.76280000001</v>
      </c>
      <c r="O51" s="39">
        <f t="shared" si="2"/>
        <v>131047.98</v>
      </c>
      <c r="P51" s="39">
        <f t="shared" si="3"/>
        <v>-8571.2171999999846</v>
      </c>
    </row>
    <row r="52" spans="1:16" x14ac:dyDescent="0.35">
      <c r="A52" s="39" t="s">
        <v>140</v>
      </c>
      <c r="B52" s="45">
        <v>44952</v>
      </c>
      <c r="C52" s="45" t="str">
        <f t="shared" si="0"/>
        <v>Jan</v>
      </c>
      <c r="D52" s="39" t="s">
        <v>22</v>
      </c>
      <c r="E52" s="39">
        <v>11</v>
      </c>
      <c r="F52" s="46" t="s">
        <v>45</v>
      </c>
      <c r="G52" s="39">
        <v>2414.8200000000002</v>
      </c>
      <c r="H52" s="39">
        <v>2519.0700000000002</v>
      </c>
      <c r="I52" s="39" t="s">
        <v>25</v>
      </c>
      <c r="J52" s="47">
        <v>0</v>
      </c>
      <c r="K52" s="39" t="s">
        <v>26</v>
      </c>
      <c r="L52" s="39" t="s">
        <v>27</v>
      </c>
      <c r="M52" s="39" t="s">
        <v>35</v>
      </c>
      <c r="N52" s="39">
        <f t="shared" si="1"/>
        <v>27709.77</v>
      </c>
      <c r="O52" s="39">
        <f t="shared" si="2"/>
        <v>26563.02</v>
      </c>
      <c r="P52" s="39">
        <f t="shared" si="3"/>
        <v>1146.75</v>
      </c>
    </row>
    <row r="53" spans="1:16" x14ac:dyDescent="0.35">
      <c r="A53" s="39" t="s">
        <v>142</v>
      </c>
      <c r="B53" s="45">
        <v>45099</v>
      </c>
      <c r="C53" s="45" t="str">
        <f t="shared" si="0"/>
        <v>Jun</v>
      </c>
      <c r="D53" s="39" t="s">
        <v>22</v>
      </c>
      <c r="E53" s="39">
        <v>39</v>
      </c>
      <c r="F53" s="46" t="s">
        <v>51</v>
      </c>
      <c r="G53" s="39">
        <v>2416.89</v>
      </c>
      <c r="H53" s="39">
        <v>2778.4</v>
      </c>
      <c r="I53" s="39" t="s">
        <v>25</v>
      </c>
      <c r="J53" s="47">
        <v>0.05</v>
      </c>
      <c r="K53" s="39" t="s">
        <v>26</v>
      </c>
      <c r="L53" s="39" t="s">
        <v>34</v>
      </c>
      <c r="M53" s="39" t="s">
        <v>35</v>
      </c>
      <c r="N53" s="39">
        <f t="shared" si="1"/>
        <v>102939.72</v>
      </c>
      <c r="O53" s="39">
        <f t="shared" si="2"/>
        <v>94258.709999999992</v>
      </c>
      <c r="P53" s="39">
        <f t="shared" si="3"/>
        <v>8681.0100000000093</v>
      </c>
    </row>
    <row r="54" spans="1:16" x14ac:dyDescent="0.35">
      <c r="A54" s="39" t="s">
        <v>144</v>
      </c>
      <c r="B54" s="45">
        <v>45226</v>
      </c>
      <c r="C54" s="45" t="str">
        <f t="shared" si="0"/>
        <v>Oct</v>
      </c>
      <c r="D54" s="39" t="s">
        <v>22</v>
      </c>
      <c r="E54" s="39">
        <v>43</v>
      </c>
      <c r="F54" s="46" t="s">
        <v>24</v>
      </c>
      <c r="G54" s="39">
        <v>3851.45</v>
      </c>
      <c r="H54" s="39">
        <v>4186.9799999999996</v>
      </c>
      <c r="I54" s="39" t="s">
        <v>25</v>
      </c>
      <c r="J54" s="47">
        <v>0.1</v>
      </c>
      <c r="K54" s="39" t="s">
        <v>47</v>
      </c>
      <c r="L54" s="39" t="s">
        <v>34</v>
      </c>
      <c r="M54" s="39" t="s">
        <v>35</v>
      </c>
      <c r="N54" s="39">
        <f t="shared" si="1"/>
        <v>162036.12599999999</v>
      </c>
      <c r="O54" s="39">
        <f t="shared" si="2"/>
        <v>165612.35</v>
      </c>
      <c r="P54" s="39">
        <f t="shared" si="3"/>
        <v>-3576.2240000000165</v>
      </c>
    </row>
    <row r="55" spans="1:16" x14ac:dyDescent="0.35">
      <c r="A55" s="39" t="s">
        <v>146</v>
      </c>
      <c r="B55" s="45">
        <v>45059</v>
      </c>
      <c r="C55" s="45" t="str">
        <f t="shared" si="0"/>
        <v>May</v>
      </c>
      <c r="D55" s="39" t="s">
        <v>32</v>
      </c>
      <c r="E55" s="39">
        <v>31</v>
      </c>
      <c r="F55" s="46" t="s">
        <v>51</v>
      </c>
      <c r="G55" s="39">
        <v>3161.4</v>
      </c>
      <c r="H55" s="39">
        <v>3339.66</v>
      </c>
      <c r="I55" s="39" t="s">
        <v>25</v>
      </c>
      <c r="J55" s="47">
        <v>0.02</v>
      </c>
      <c r="K55" s="39" t="s">
        <v>40</v>
      </c>
      <c r="L55" s="39" t="s">
        <v>34</v>
      </c>
      <c r="M55" s="39" t="s">
        <v>41</v>
      </c>
      <c r="N55" s="39">
        <f t="shared" si="1"/>
        <v>101458.87079999999</v>
      </c>
      <c r="O55" s="39">
        <f t="shared" si="2"/>
        <v>98003.400000000009</v>
      </c>
      <c r="P55" s="39">
        <f t="shared" si="3"/>
        <v>3455.470799999981</v>
      </c>
    </row>
    <row r="56" spans="1:16" x14ac:dyDescent="0.35">
      <c r="A56" s="39" t="s">
        <v>147</v>
      </c>
      <c r="B56" s="45">
        <v>45252</v>
      </c>
      <c r="C56" s="45" t="str">
        <f t="shared" si="0"/>
        <v>Nov</v>
      </c>
      <c r="D56" s="39" t="s">
        <v>38</v>
      </c>
      <c r="E56" s="39">
        <v>17</v>
      </c>
      <c r="F56" s="46" t="s">
        <v>39</v>
      </c>
      <c r="G56" s="39">
        <v>3184.65</v>
      </c>
      <c r="H56" s="39">
        <v>3204.01</v>
      </c>
      <c r="I56" s="39" t="s">
        <v>46</v>
      </c>
      <c r="J56" s="47">
        <v>0.06</v>
      </c>
      <c r="K56" s="39" t="s">
        <v>40</v>
      </c>
      <c r="L56" s="39" t="s">
        <v>27</v>
      </c>
      <c r="M56" s="39" t="s">
        <v>41</v>
      </c>
      <c r="N56" s="39">
        <f t="shared" si="1"/>
        <v>51200.0798</v>
      </c>
      <c r="O56" s="39">
        <f t="shared" si="2"/>
        <v>54139.05</v>
      </c>
      <c r="P56" s="39">
        <f t="shared" si="3"/>
        <v>-2938.9702000000034</v>
      </c>
    </row>
    <row r="57" spans="1:16" x14ac:dyDescent="0.35">
      <c r="A57" s="39" t="s">
        <v>149</v>
      </c>
      <c r="B57" s="45">
        <v>45044</v>
      </c>
      <c r="C57" s="45" t="str">
        <f t="shared" si="0"/>
        <v>Apr</v>
      </c>
      <c r="D57" s="39" t="s">
        <v>81</v>
      </c>
      <c r="E57" s="39">
        <v>33</v>
      </c>
      <c r="F57" s="46" t="s">
        <v>45</v>
      </c>
      <c r="G57" s="39">
        <v>2278.9</v>
      </c>
      <c r="H57" s="39">
        <v>2626.9</v>
      </c>
      <c r="I57" s="39" t="s">
        <v>46</v>
      </c>
      <c r="J57" s="47">
        <v>0.05</v>
      </c>
      <c r="K57" s="39" t="s">
        <v>47</v>
      </c>
      <c r="L57" s="39" t="s">
        <v>34</v>
      </c>
      <c r="M57" s="39" t="s">
        <v>41</v>
      </c>
      <c r="N57" s="39">
        <f t="shared" si="1"/>
        <v>82353.314999999988</v>
      </c>
      <c r="O57" s="39">
        <f t="shared" si="2"/>
        <v>75203.7</v>
      </c>
      <c r="P57" s="39">
        <f t="shared" si="3"/>
        <v>7149.6149999999907</v>
      </c>
    </row>
    <row r="58" spans="1:16" x14ac:dyDescent="0.35">
      <c r="A58" s="39" t="s">
        <v>151</v>
      </c>
      <c r="B58" s="45">
        <v>45250</v>
      </c>
      <c r="C58" s="45" t="str">
        <f t="shared" si="0"/>
        <v>Nov</v>
      </c>
      <c r="D58" s="39" t="s">
        <v>22</v>
      </c>
      <c r="E58" s="39">
        <v>32</v>
      </c>
      <c r="F58" s="46" t="s">
        <v>51</v>
      </c>
      <c r="G58" s="39">
        <v>2678.99</v>
      </c>
      <c r="H58" s="39">
        <v>3152.28</v>
      </c>
      <c r="I58" s="39" t="s">
        <v>25</v>
      </c>
      <c r="J58" s="47">
        <v>0.22</v>
      </c>
      <c r="K58" s="39" t="s">
        <v>26</v>
      </c>
      <c r="L58" s="39" t="s">
        <v>34</v>
      </c>
      <c r="M58" s="39" t="s">
        <v>41</v>
      </c>
      <c r="N58" s="39">
        <f t="shared" si="1"/>
        <v>78680.908800000005</v>
      </c>
      <c r="O58" s="39">
        <f t="shared" si="2"/>
        <v>85727.679999999993</v>
      </c>
      <c r="P58" s="39">
        <f t="shared" si="3"/>
        <v>-7046.7711999999883</v>
      </c>
    </row>
    <row r="59" spans="1:16" x14ac:dyDescent="0.35">
      <c r="A59" s="39" t="s">
        <v>153</v>
      </c>
      <c r="B59" s="45">
        <v>45201</v>
      </c>
      <c r="C59" s="45" t="str">
        <f t="shared" si="0"/>
        <v>Oct</v>
      </c>
      <c r="D59" s="39" t="s">
        <v>54</v>
      </c>
      <c r="E59" s="39">
        <v>29</v>
      </c>
      <c r="F59" s="46" t="s">
        <v>51</v>
      </c>
      <c r="G59" s="39">
        <v>3741.3</v>
      </c>
      <c r="H59" s="39">
        <v>4061.04</v>
      </c>
      <c r="I59" s="39" t="s">
        <v>25</v>
      </c>
      <c r="J59" s="47">
        <v>0.05</v>
      </c>
      <c r="K59" s="39" t="s">
        <v>47</v>
      </c>
      <c r="L59" s="39" t="s">
        <v>34</v>
      </c>
      <c r="M59" s="39" t="s">
        <v>41</v>
      </c>
      <c r="N59" s="39">
        <f t="shared" si="1"/>
        <v>111881.652</v>
      </c>
      <c r="O59" s="39">
        <f t="shared" si="2"/>
        <v>108497.70000000001</v>
      </c>
      <c r="P59" s="39">
        <f t="shared" si="3"/>
        <v>3383.9519999999902</v>
      </c>
    </row>
    <row r="60" spans="1:16" x14ac:dyDescent="0.35">
      <c r="A60" s="39" t="s">
        <v>155</v>
      </c>
      <c r="B60" s="45">
        <v>45138</v>
      </c>
      <c r="C60" s="45" t="str">
        <f t="shared" si="0"/>
        <v>Jul</v>
      </c>
      <c r="D60" s="39" t="s">
        <v>22</v>
      </c>
      <c r="E60" s="39">
        <v>21</v>
      </c>
      <c r="F60" s="46" t="s">
        <v>45</v>
      </c>
      <c r="G60" s="39">
        <v>4138.41</v>
      </c>
      <c r="H60" s="39">
        <v>4361.7</v>
      </c>
      <c r="I60" s="39" t="s">
        <v>25</v>
      </c>
      <c r="J60" s="47">
        <v>7.0000000000000007E-2</v>
      </c>
      <c r="K60" s="39" t="s">
        <v>47</v>
      </c>
      <c r="L60" s="39" t="s">
        <v>34</v>
      </c>
      <c r="M60" s="39" t="s">
        <v>35</v>
      </c>
      <c r="N60" s="39">
        <f t="shared" si="1"/>
        <v>85184.000999999989</v>
      </c>
      <c r="O60" s="39">
        <f t="shared" si="2"/>
        <v>86906.61</v>
      </c>
      <c r="P60" s="39">
        <f t="shared" si="3"/>
        <v>-1722.6090000000113</v>
      </c>
    </row>
    <row r="61" spans="1:16" x14ac:dyDescent="0.35">
      <c r="A61" s="39" t="s">
        <v>157</v>
      </c>
      <c r="B61" s="45">
        <v>45151</v>
      </c>
      <c r="C61" s="45" t="str">
        <f t="shared" si="0"/>
        <v>Aug</v>
      </c>
      <c r="D61" s="39" t="s">
        <v>54</v>
      </c>
      <c r="E61" s="39">
        <v>21</v>
      </c>
      <c r="F61" s="46" t="s">
        <v>24</v>
      </c>
      <c r="G61" s="39">
        <v>3497.98</v>
      </c>
      <c r="H61" s="39">
        <v>3765.31</v>
      </c>
      <c r="I61" s="39" t="s">
        <v>46</v>
      </c>
      <c r="J61" s="47">
        <v>0.08</v>
      </c>
      <c r="K61" s="39" t="s">
        <v>26</v>
      </c>
      <c r="L61" s="39" t="s">
        <v>34</v>
      </c>
      <c r="M61" s="39" t="s">
        <v>28</v>
      </c>
      <c r="N61" s="39">
        <f t="shared" si="1"/>
        <v>72745.789199999999</v>
      </c>
      <c r="O61" s="39">
        <f t="shared" si="2"/>
        <v>73457.58</v>
      </c>
      <c r="P61" s="39">
        <f t="shared" si="3"/>
        <v>-711.79080000000249</v>
      </c>
    </row>
    <row r="62" spans="1:16" x14ac:dyDescent="0.35">
      <c r="A62" s="39" t="s">
        <v>159</v>
      </c>
      <c r="B62" s="45">
        <v>44946</v>
      </c>
      <c r="C62" s="45" t="str">
        <f t="shared" si="0"/>
        <v>Jan</v>
      </c>
      <c r="D62" s="39" t="s">
        <v>54</v>
      </c>
      <c r="E62" s="39">
        <v>40</v>
      </c>
      <c r="F62" s="46" t="s">
        <v>51</v>
      </c>
      <c r="G62" s="39">
        <v>4624.16</v>
      </c>
      <c r="H62" s="39">
        <v>4731.9799999999996</v>
      </c>
      <c r="I62" s="39" t="s">
        <v>46</v>
      </c>
      <c r="J62" s="47">
        <v>0.2</v>
      </c>
      <c r="K62" s="39" t="s">
        <v>40</v>
      </c>
      <c r="L62" s="39" t="s">
        <v>27</v>
      </c>
      <c r="M62" s="39" t="s">
        <v>35</v>
      </c>
      <c r="N62" s="39">
        <f t="shared" si="1"/>
        <v>151423.35999999999</v>
      </c>
      <c r="O62" s="39">
        <f t="shared" si="2"/>
        <v>184966.39999999999</v>
      </c>
      <c r="P62" s="39">
        <f t="shared" si="3"/>
        <v>-33543.040000000008</v>
      </c>
    </row>
    <row r="63" spans="1:16" x14ac:dyDescent="0.35">
      <c r="A63" s="39" t="s">
        <v>161</v>
      </c>
      <c r="B63" s="45">
        <v>45039</v>
      </c>
      <c r="C63" s="45" t="str">
        <f t="shared" si="0"/>
        <v>Apr</v>
      </c>
      <c r="D63" s="39" t="s">
        <v>22</v>
      </c>
      <c r="E63" s="39">
        <v>23</v>
      </c>
      <c r="F63" s="46" t="s">
        <v>45</v>
      </c>
      <c r="G63" s="39">
        <v>4110.6000000000004</v>
      </c>
      <c r="H63" s="39">
        <v>4488.37</v>
      </c>
      <c r="I63" s="39" t="s">
        <v>46</v>
      </c>
      <c r="J63" s="47">
        <v>0.12</v>
      </c>
      <c r="K63" s="39" t="s">
        <v>47</v>
      </c>
      <c r="L63" s="39" t="s">
        <v>27</v>
      </c>
      <c r="M63" s="39" t="s">
        <v>28</v>
      </c>
      <c r="N63" s="39">
        <f t="shared" si="1"/>
        <v>90844.608800000002</v>
      </c>
      <c r="O63" s="39">
        <f t="shared" si="2"/>
        <v>94543.8</v>
      </c>
      <c r="P63" s="39">
        <f t="shared" si="3"/>
        <v>-3699.1912000000011</v>
      </c>
    </row>
    <row r="64" spans="1:16" x14ac:dyDescent="0.35">
      <c r="A64" s="39" t="s">
        <v>163</v>
      </c>
      <c r="B64" s="45">
        <v>45066</v>
      </c>
      <c r="C64" s="45" t="str">
        <f t="shared" si="0"/>
        <v>May</v>
      </c>
      <c r="D64" s="39" t="s">
        <v>32</v>
      </c>
      <c r="E64" s="39">
        <v>6</v>
      </c>
      <c r="F64" s="46" t="s">
        <v>24</v>
      </c>
      <c r="G64" s="39">
        <v>2831.23</v>
      </c>
      <c r="H64" s="39">
        <v>3206.98</v>
      </c>
      <c r="I64" s="39" t="s">
        <v>25</v>
      </c>
      <c r="J64" s="47">
        <v>0.06</v>
      </c>
      <c r="K64" s="39" t="s">
        <v>40</v>
      </c>
      <c r="L64" s="39" t="s">
        <v>27</v>
      </c>
      <c r="M64" s="39" t="s">
        <v>41</v>
      </c>
      <c r="N64" s="39">
        <f t="shared" si="1"/>
        <v>18087.367200000001</v>
      </c>
      <c r="O64" s="39">
        <f t="shared" si="2"/>
        <v>16987.38</v>
      </c>
      <c r="P64" s="39">
        <f t="shared" si="3"/>
        <v>1099.9871999999996</v>
      </c>
    </row>
    <row r="65" spans="1:16" x14ac:dyDescent="0.35">
      <c r="A65" s="39" t="s">
        <v>165</v>
      </c>
      <c r="B65" s="45">
        <v>44973</v>
      </c>
      <c r="C65" s="45" t="str">
        <f t="shared" si="0"/>
        <v>Feb</v>
      </c>
      <c r="D65" s="39" t="s">
        <v>54</v>
      </c>
      <c r="E65" s="39">
        <v>22</v>
      </c>
      <c r="F65" s="46" t="s">
        <v>39</v>
      </c>
      <c r="G65" s="39">
        <v>3373.46</v>
      </c>
      <c r="H65" s="39">
        <v>4454.76</v>
      </c>
      <c r="I65" s="39" t="s">
        <v>25</v>
      </c>
      <c r="J65" s="47">
        <v>0.22</v>
      </c>
      <c r="K65" s="39" t="s">
        <v>40</v>
      </c>
      <c r="L65" s="39" t="s">
        <v>34</v>
      </c>
      <c r="M65" s="39" t="s">
        <v>28</v>
      </c>
      <c r="N65" s="39">
        <f t="shared" si="1"/>
        <v>76443.681599999996</v>
      </c>
      <c r="O65" s="39">
        <f t="shared" si="2"/>
        <v>74216.12</v>
      </c>
      <c r="P65" s="39">
        <f t="shared" si="3"/>
        <v>2227.5616000000009</v>
      </c>
    </row>
    <row r="66" spans="1:16" x14ac:dyDescent="0.35">
      <c r="A66" s="39" t="s">
        <v>167</v>
      </c>
      <c r="B66" s="45">
        <v>44927</v>
      </c>
      <c r="C66" s="45" t="str">
        <f t="shared" si="0"/>
        <v>Jan</v>
      </c>
      <c r="D66" s="39" t="s">
        <v>54</v>
      </c>
      <c r="E66" s="39">
        <v>38</v>
      </c>
      <c r="F66" s="46" t="s">
        <v>45</v>
      </c>
      <c r="G66" s="39">
        <v>4635.2299999999996</v>
      </c>
      <c r="H66" s="39">
        <v>5075.4399999999996</v>
      </c>
      <c r="I66" s="39" t="s">
        <v>25</v>
      </c>
      <c r="J66" s="47">
        <v>0.05</v>
      </c>
      <c r="K66" s="39" t="s">
        <v>26</v>
      </c>
      <c r="L66" s="39" t="s">
        <v>27</v>
      </c>
      <c r="M66" s="39" t="s">
        <v>35</v>
      </c>
      <c r="N66" s="39">
        <f t="shared" si="1"/>
        <v>183223.38399999996</v>
      </c>
      <c r="O66" s="39">
        <f t="shared" si="2"/>
        <v>176138.74</v>
      </c>
      <c r="P66" s="39">
        <f t="shared" si="3"/>
        <v>7084.6439999999711</v>
      </c>
    </row>
    <row r="67" spans="1:16" x14ac:dyDescent="0.35">
      <c r="A67" s="39" t="s">
        <v>169</v>
      </c>
      <c r="B67" s="45">
        <v>45016</v>
      </c>
      <c r="C67" s="45" t="str">
        <f t="shared" ref="C67:C130" si="4">TEXT(B67,"mmm")</f>
        <v>Mar</v>
      </c>
      <c r="D67" s="39" t="s">
        <v>22</v>
      </c>
      <c r="E67" s="39">
        <v>37</v>
      </c>
      <c r="F67" s="46" t="s">
        <v>51</v>
      </c>
      <c r="G67" s="39">
        <v>3114.88</v>
      </c>
      <c r="H67" s="39">
        <v>5256.78</v>
      </c>
      <c r="I67" s="39" t="s">
        <v>25</v>
      </c>
      <c r="J67" s="47">
        <v>0.26</v>
      </c>
      <c r="K67" s="39" t="s">
        <v>47</v>
      </c>
      <c r="L67" s="39" t="s">
        <v>27</v>
      </c>
      <c r="M67" s="39" t="s">
        <v>35</v>
      </c>
      <c r="N67" s="39">
        <f t="shared" ref="N67:N130" si="5">E67*H67*(1-J67)</f>
        <v>143930.63639999999</v>
      </c>
      <c r="O67" s="39">
        <f t="shared" ref="O67:O130" si="6">G67*E67</f>
        <v>115250.56</v>
      </c>
      <c r="P67" s="39">
        <f t="shared" ref="P67:P130" si="7">N67-O67</f>
        <v>28680.076399999991</v>
      </c>
    </row>
    <row r="68" spans="1:16" x14ac:dyDescent="0.35">
      <c r="A68" s="39" t="s">
        <v>171</v>
      </c>
      <c r="B68" s="45">
        <v>45068</v>
      </c>
      <c r="C68" s="45" t="str">
        <f t="shared" si="4"/>
        <v>May</v>
      </c>
      <c r="D68" s="39" t="s">
        <v>54</v>
      </c>
      <c r="E68" s="39">
        <v>45</v>
      </c>
      <c r="F68" s="46" t="s">
        <v>39</v>
      </c>
      <c r="G68" s="39">
        <v>4132.79</v>
      </c>
      <c r="H68" s="39">
        <v>4624.1000000000004</v>
      </c>
      <c r="I68" s="39" t="s">
        <v>46</v>
      </c>
      <c r="J68" s="47">
        <v>0.15</v>
      </c>
      <c r="K68" s="39" t="s">
        <v>47</v>
      </c>
      <c r="L68" s="39" t="s">
        <v>27</v>
      </c>
      <c r="M68" s="39" t="s">
        <v>28</v>
      </c>
      <c r="N68" s="39">
        <f t="shared" si="5"/>
        <v>176871.82500000001</v>
      </c>
      <c r="O68" s="39">
        <f t="shared" si="6"/>
        <v>185975.55</v>
      </c>
      <c r="P68" s="39">
        <f t="shared" si="7"/>
        <v>-9103.7249999999767</v>
      </c>
    </row>
    <row r="69" spans="1:16" x14ac:dyDescent="0.35">
      <c r="A69" s="39" t="s">
        <v>173</v>
      </c>
      <c r="B69" s="45">
        <v>45246</v>
      </c>
      <c r="C69" s="45" t="str">
        <f t="shared" si="4"/>
        <v>Nov</v>
      </c>
      <c r="D69" s="39" t="s">
        <v>54</v>
      </c>
      <c r="E69" s="39">
        <v>8</v>
      </c>
      <c r="F69" s="46" t="s">
        <v>24</v>
      </c>
      <c r="G69" s="39">
        <v>3459.61</v>
      </c>
      <c r="H69" s="39">
        <v>3657.23</v>
      </c>
      <c r="I69" s="39" t="s">
        <v>25</v>
      </c>
      <c r="J69" s="47">
        <v>0.03</v>
      </c>
      <c r="K69" s="39" t="s">
        <v>40</v>
      </c>
      <c r="L69" s="39" t="s">
        <v>34</v>
      </c>
      <c r="M69" s="39" t="s">
        <v>41</v>
      </c>
      <c r="N69" s="39">
        <f t="shared" si="5"/>
        <v>28380.104800000001</v>
      </c>
      <c r="O69" s="39">
        <f t="shared" si="6"/>
        <v>27676.880000000001</v>
      </c>
      <c r="P69" s="39">
        <f t="shared" si="7"/>
        <v>703.22479999999996</v>
      </c>
    </row>
    <row r="70" spans="1:16" x14ac:dyDescent="0.35">
      <c r="A70" s="39" t="s">
        <v>175</v>
      </c>
      <c r="B70" s="45">
        <v>44964</v>
      </c>
      <c r="C70" s="45" t="str">
        <f t="shared" si="4"/>
        <v>Feb</v>
      </c>
      <c r="D70" s="39" t="s">
        <v>22</v>
      </c>
      <c r="E70" s="39">
        <v>41</v>
      </c>
      <c r="F70" s="46" t="s">
        <v>24</v>
      </c>
      <c r="G70" s="39">
        <v>2782.08</v>
      </c>
      <c r="H70" s="39">
        <v>3879.24</v>
      </c>
      <c r="I70" s="39" t="s">
        <v>46</v>
      </c>
      <c r="J70" s="47">
        <v>0.21</v>
      </c>
      <c r="K70" s="39" t="s">
        <v>40</v>
      </c>
      <c r="L70" s="39" t="s">
        <v>34</v>
      </c>
      <c r="M70" s="39" t="s">
        <v>41</v>
      </c>
      <c r="N70" s="39">
        <f t="shared" si="5"/>
        <v>125648.5836</v>
      </c>
      <c r="O70" s="39">
        <f t="shared" si="6"/>
        <v>114065.28</v>
      </c>
      <c r="P70" s="39">
        <f t="shared" si="7"/>
        <v>11583.303599999999</v>
      </c>
    </row>
    <row r="71" spans="1:16" x14ac:dyDescent="0.35">
      <c r="A71" s="39" t="s">
        <v>177</v>
      </c>
      <c r="B71" s="45">
        <v>45219</v>
      </c>
      <c r="C71" s="45" t="str">
        <f t="shared" si="4"/>
        <v>Oct</v>
      </c>
      <c r="D71" s="39" t="s">
        <v>22</v>
      </c>
      <c r="E71" s="39">
        <v>49</v>
      </c>
      <c r="F71" s="46" t="s">
        <v>45</v>
      </c>
      <c r="G71" s="39">
        <v>1247.0999999999999</v>
      </c>
      <c r="H71" s="39">
        <v>1429.44</v>
      </c>
      <c r="I71" s="39" t="s">
        <v>46</v>
      </c>
      <c r="J71" s="47">
        <v>0.16</v>
      </c>
      <c r="K71" s="39" t="s">
        <v>26</v>
      </c>
      <c r="L71" s="39" t="s">
        <v>27</v>
      </c>
      <c r="M71" s="39" t="s">
        <v>35</v>
      </c>
      <c r="N71" s="39">
        <f t="shared" si="5"/>
        <v>58835.750399999997</v>
      </c>
      <c r="O71" s="39">
        <f t="shared" si="6"/>
        <v>61107.899999999994</v>
      </c>
      <c r="P71" s="39">
        <f t="shared" si="7"/>
        <v>-2272.149599999997</v>
      </c>
    </row>
    <row r="72" spans="1:16" x14ac:dyDescent="0.35">
      <c r="A72" s="39" t="s">
        <v>179</v>
      </c>
      <c r="B72" s="45">
        <v>45065</v>
      </c>
      <c r="C72" s="45" t="str">
        <f t="shared" si="4"/>
        <v>May</v>
      </c>
      <c r="D72" s="39" t="s">
        <v>81</v>
      </c>
      <c r="E72" s="39">
        <v>35</v>
      </c>
      <c r="F72" s="46" t="s">
        <v>45</v>
      </c>
      <c r="G72" s="39">
        <v>2158.69</v>
      </c>
      <c r="H72" s="39">
        <v>2384.38</v>
      </c>
      <c r="I72" s="39" t="s">
        <v>25</v>
      </c>
      <c r="J72" s="47">
        <v>0.09</v>
      </c>
      <c r="K72" s="39" t="s">
        <v>40</v>
      </c>
      <c r="L72" s="39" t="s">
        <v>27</v>
      </c>
      <c r="M72" s="39" t="s">
        <v>28</v>
      </c>
      <c r="N72" s="39">
        <f t="shared" si="5"/>
        <v>75942.503000000012</v>
      </c>
      <c r="O72" s="39">
        <f t="shared" si="6"/>
        <v>75554.150000000009</v>
      </c>
      <c r="P72" s="39">
        <f t="shared" si="7"/>
        <v>388.35300000000279</v>
      </c>
    </row>
    <row r="73" spans="1:16" x14ac:dyDescent="0.35">
      <c r="A73" s="39" t="s">
        <v>181</v>
      </c>
      <c r="B73" s="45">
        <v>45282</v>
      </c>
      <c r="C73" s="45" t="str">
        <f t="shared" si="4"/>
        <v>Dec</v>
      </c>
      <c r="D73" s="39" t="s">
        <v>32</v>
      </c>
      <c r="E73" s="39">
        <v>11</v>
      </c>
      <c r="F73" s="46" t="s">
        <v>45</v>
      </c>
      <c r="G73" s="39">
        <v>4840.33</v>
      </c>
      <c r="H73" s="39">
        <v>5084.29</v>
      </c>
      <c r="I73" s="39" t="s">
        <v>46</v>
      </c>
      <c r="J73" s="47">
        <v>0.13</v>
      </c>
      <c r="K73" s="39" t="s">
        <v>26</v>
      </c>
      <c r="L73" s="39" t="s">
        <v>34</v>
      </c>
      <c r="M73" s="39" t="s">
        <v>41</v>
      </c>
      <c r="N73" s="39">
        <f t="shared" si="5"/>
        <v>48656.655299999999</v>
      </c>
      <c r="O73" s="39">
        <f t="shared" si="6"/>
        <v>53243.63</v>
      </c>
      <c r="P73" s="39">
        <f t="shared" si="7"/>
        <v>-4586.9746999999988</v>
      </c>
    </row>
    <row r="74" spans="1:16" x14ac:dyDescent="0.35">
      <c r="A74" s="39" t="s">
        <v>183</v>
      </c>
      <c r="B74" s="45">
        <v>45259</v>
      </c>
      <c r="C74" s="45" t="str">
        <f t="shared" si="4"/>
        <v>Nov</v>
      </c>
      <c r="D74" s="39" t="s">
        <v>32</v>
      </c>
      <c r="E74" s="39">
        <v>24</v>
      </c>
      <c r="F74" s="46" t="s">
        <v>24</v>
      </c>
      <c r="G74" s="39">
        <v>3305.94</v>
      </c>
      <c r="H74" s="39">
        <v>3599.27</v>
      </c>
      <c r="I74" s="39" t="s">
        <v>46</v>
      </c>
      <c r="J74" s="47">
        <v>0.09</v>
      </c>
      <c r="K74" s="39" t="s">
        <v>47</v>
      </c>
      <c r="L74" s="39" t="s">
        <v>34</v>
      </c>
      <c r="M74" s="39" t="s">
        <v>41</v>
      </c>
      <c r="N74" s="39">
        <f t="shared" si="5"/>
        <v>78608.056800000006</v>
      </c>
      <c r="O74" s="39">
        <f t="shared" si="6"/>
        <v>79342.559999999998</v>
      </c>
      <c r="P74" s="39">
        <f t="shared" si="7"/>
        <v>-734.50319999999192</v>
      </c>
    </row>
    <row r="75" spans="1:16" x14ac:dyDescent="0.35">
      <c r="A75" s="39" t="s">
        <v>185</v>
      </c>
      <c r="B75" s="45">
        <v>45185</v>
      </c>
      <c r="C75" s="45" t="str">
        <f t="shared" si="4"/>
        <v>Sep</v>
      </c>
      <c r="D75" s="39" t="s">
        <v>54</v>
      </c>
      <c r="E75" s="39">
        <v>49</v>
      </c>
      <c r="F75" s="46" t="s">
        <v>39</v>
      </c>
      <c r="G75" s="39">
        <v>2843.76</v>
      </c>
      <c r="H75" s="39">
        <v>3146.6</v>
      </c>
      <c r="I75" s="39" t="s">
        <v>46</v>
      </c>
      <c r="J75" s="47">
        <v>0.08</v>
      </c>
      <c r="K75" s="39" t="s">
        <v>26</v>
      </c>
      <c r="L75" s="39" t="s">
        <v>27</v>
      </c>
      <c r="M75" s="39" t="s">
        <v>35</v>
      </c>
      <c r="N75" s="39">
        <f t="shared" si="5"/>
        <v>141848.728</v>
      </c>
      <c r="O75" s="39">
        <f t="shared" si="6"/>
        <v>139344.24000000002</v>
      </c>
      <c r="P75" s="39">
        <f t="shared" si="7"/>
        <v>2504.487999999983</v>
      </c>
    </row>
    <row r="76" spans="1:16" x14ac:dyDescent="0.35">
      <c r="A76" s="39" t="s">
        <v>187</v>
      </c>
      <c r="B76" s="45">
        <v>45087</v>
      </c>
      <c r="C76" s="45" t="str">
        <f t="shared" si="4"/>
        <v>Jun</v>
      </c>
      <c r="D76" s="39" t="s">
        <v>32</v>
      </c>
      <c r="E76" s="39">
        <v>21</v>
      </c>
      <c r="F76" s="46" t="s">
        <v>24</v>
      </c>
      <c r="G76" s="39">
        <v>4668.1400000000003</v>
      </c>
      <c r="H76" s="39">
        <v>5040.22</v>
      </c>
      <c r="I76" s="39" t="s">
        <v>46</v>
      </c>
      <c r="J76" s="47">
        <v>0.05</v>
      </c>
      <c r="K76" s="39" t="s">
        <v>40</v>
      </c>
      <c r="L76" s="39" t="s">
        <v>34</v>
      </c>
      <c r="M76" s="39" t="s">
        <v>41</v>
      </c>
      <c r="N76" s="39">
        <f t="shared" si="5"/>
        <v>100552.38900000001</v>
      </c>
      <c r="O76" s="39">
        <f t="shared" si="6"/>
        <v>98030.94</v>
      </c>
      <c r="P76" s="39">
        <f t="shared" si="7"/>
        <v>2521.4490000000078</v>
      </c>
    </row>
    <row r="77" spans="1:16" x14ac:dyDescent="0.35">
      <c r="A77" s="39" t="s">
        <v>189</v>
      </c>
      <c r="B77" s="45">
        <v>45104</v>
      </c>
      <c r="C77" s="45" t="str">
        <f t="shared" si="4"/>
        <v>Jun</v>
      </c>
      <c r="D77" s="39" t="s">
        <v>54</v>
      </c>
      <c r="E77" s="39">
        <v>2</v>
      </c>
      <c r="F77" s="46" t="s">
        <v>51</v>
      </c>
      <c r="G77" s="39">
        <v>2953.23</v>
      </c>
      <c r="H77" s="39">
        <v>2977.52</v>
      </c>
      <c r="I77" s="39" t="s">
        <v>25</v>
      </c>
      <c r="J77" s="47">
        <v>0.11</v>
      </c>
      <c r="K77" s="39" t="s">
        <v>47</v>
      </c>
      <c r="L77" s="39" t="s">
        <v>27</v>
      </c>
      <c r="M77" s="39" t="s">
        <v>28</v>
      </c>
      <c r="N77" s="39">
        <f t="shared" si="5"/>
        <v>5299.9856</v>
      </c>
      <c r="O77" s="39">
        <f t="shared" si="6"/>
        <v>5906.46</v>
      </c>
      <c r="P77" s="39">
        <f t="shared" si="7"/>
        <v>-606.47440000000006</v>
      </c>
    </row>
    <row r="78" spans="1:16" x14ac:dyDescent="0.35">
      <c r="A78" s="39" t="s">
        <v>190</v>
      </c>
      <c r="B78" s="45">
        <v>44936</v>
      </c>
      <c r="C78" s="45" t="str">
        <f t="shared" si="4"/>
        <v>Jan</v>
      </c>
      <c r="D78" s="39" t="s">
        <v>81</v>
      </c>
      <c r="E78" s="39">
        <v>40</v>
      </c>
      <c r="F78" s="46" t="s">
        <v>24</v>
      </c>
      <c r="G78" s="39">
        <v>2654.11</v>
      </c>
      <c r="H78" s="39">
        <v>2929.32</v>
      </c>
      <c r="I78" s="39" t="s">
        <v>25</v>
      </c>
      <c r="J78" s="47">
        <v>0.08</v>
      </c>
      <c r="K78" s="39" t="s">
        <v>26</v>
      </c>
      <c r="L78" s="39" t="s">
        <v>34</v>
      </c>
      <c r="M78" s="39" t="s">
        <v>35</v>
      </c>
      <c r="N78" s="39">
        <f t="shared" si="5"/>
        <v>107798.97600000001</v>
      </c>
      <c r="O78" s="39">
        <f t="shared" si="6"/>
        <v>106164.40000000001</v>
      </c>
      <c r="P78" s="39">
        <f t="shared" si="7"/>
        <v>1634.5760000000009</v>
      </c>
    </row>
    <row r="79" spans="1:16" x14ac:dyDescent="0.35">
      <c r="A79" s="39" t="s">
        <v>191</v>
      </c>
      <c r="B79" s="45">
        <v>45187</v>
      </c>
      <c r="C79" s="45" t="str">
        <f t="shared" si="4"/>
        <v>Sep</v>
      </c>
      <c r="D79" s="39" t="s">
        <v>22</v>
      </c>
      <c r="E79" s="39">
        <v>19</v>
      </c>
      <c r="F79" s="46" t="s">
        <v>51</v>
      </c>
      <c r="G79" s="39">
        <v>3808.59</v>
      </c>
      <c r="H79" s="39">
        <v>4544.51</v>
      </c>
      <c r="I79" s="39" t="s">
        <v>46</v>
      </c>
      <c r="J79" s="47">
        <v>0.21</v>
      </c>
      <c r="K79" s="39" t="s">
        <v>47</v>
      </c>
      <c r="L79" s="39" t="s">
        <v>27</v>
      </c>
      <c r="M79" s="39" t="s">
        <v>35</v>
      </c>
      <c r="N79" s="39">
        <f t="shared" si="5"/>
        <v>68213.095100000006</v>
      </c>
      <c r="O79" s="39">
        <f t="shared" si="6"/>
        <v>72363.210000000006</v>
      </c>
      <c r="P79" s="39">
        <f t="shared" si="7"/>
        <v>-4150.1149000000005</v>
      </c>
    </row>
    <row r="80" spans="1:16" x14ac:dyDescent="0.35">
      <c r="A80" s="39" t="s">
        <v>193</v>
      </c>
      <c r="B80" s="45">
        <v>45064</v>
      </c>
      <c r="C80" s="45" t="str">
        <f t="shared" si="4"/>
        <v>May</v>
      </c>
      <c r="D80" s="39" t="s">
        <v>22</v>
      </c>
      <c r="E80" s="39">
        <v>39</v>
      </c>
      <c r="F80" s="46" t="s">
        <v>39</v>
      </c>
      <c r="G80" s="39">
        <v>3577.69</v>
      </c>
      <c r="H80" s="39">
        <v>3931.25</v>
      </c>
      <c r="I80" s="39" t="s">
        <v>25</v>
      </c>
      <c r="J80" s="47">
        <v>0.21</v>
      </c>
      <c r="K80" s="39" t="s">
        <v>26</v>
      </c>
      <c r="L80" s="39" t="s">
        <v>27</v>
      </c>
      <c r="M80" s="39" t="s">
        <v>28</v>
      </c>
      <c r="N80" s="39">
        <f t="shared" si="5"/>
        <v>121121.8125</v>
      </c>
      <c r="O80" s="39">
        <f t="shared" si="6"/>
        <v>139529.91</v>
      </c>
      <c r="P80" s="39">
        <f t="shared" si="7"/>
        <v>-18408.097500000003</v>
      </c>
    </row>
    <row r="81" spans="1:16" x14ac:dyDescent="0.35">
      <c r="A81" s="39" t="s">
        <v>195</v>
      </c>
      <c r="B81" s="45">
        <v>45098</v>
      </c>
      <c r="C81" s="45" t="str">
        <f t="shared" si="4"/>
        <v>Jun</v>
      </c>
      <c r="D81" s="39" t="s">
        <v>22</v>
      </c>
      <c r="E81" s="39">
        <v>28</v>
      </c>
      <c r="F81" s="46" t="s">
        <v>45</v>
      </c>
      <c r="G81" s="39">
        <v>1006.14</v>
      </c>
      <c r="H81" s="39">
        <v>2043.45</v>
      </c>
      <c r="I81" s="39" t="s">
        <v>46</v>
      </c>
      <c r="J81" s="47">
        <v>0.15</v>
      </c>
      <c r="K81" s="39" t="s">
        <v>40</v>
      </c>
      <c r="L81" s="39" t="s">
        <v>34</v>
      </c>
      <c r="M81" s="39" t="s">
        <v>35</v>
      </c>
      <c r="N81" s="39">
        <f t="shared" si="5"/>
        <v>48634.11</v>
      </c>
      <c r="O81" s="39">
        <f t="shared" si="6"/>
        <v>28171.919999999998</v>
      </c>
      <c r="P81" s="39">
        <f t="shared" si="7"/>
        <v>20462.190000000002</v>
      </c>
    </row>
    <row r="82" spans="1:16" x14ac:dyDescent="0.35">
      <c r="A82" s="39" t="s">
        <v>197</v>
      </c>
      <c r="B82" s="45">
        <v>44939</v>
      </c>
      <c r="C82" s="45" t="str">
        <f t="shared" si="4"/>
        <v>Jan</v>
      </c>
      <c r="D82" s="39" t="s">
        <v>32</v>
      </c>
      <c r="E82" s="39">
        <v>17</v>
      </c>
      <c r="F82" s="46" t="s">
        <v>45</v>
      </c>
      <c r="G82" s="39">
        <v>2382.98</v>
      </c>
      <c r="H82" s="39">
        <v>2839.73</v>
      </c>
      <c r="I82" s="39" t="s">
        <v>25</v>
      </c>
      <c r="J82" s="47">
        <v>0.23</v>
      </c>
      <c r="K82" s="39" t="s">
        <v>40</v>
      </c>
      <c r="L82" s="39" t="s">
        <v>27</v>
      </c>
      <c r="M82" s="39" t="s">
        <v>41</v>
      </c>
      <c r="N82" s="39">
        <f t="shared" si="5"/>
        <v>37172.065700000006</v>
      </c>
      <c r="O82" s="39">
        <f t="shared" si="6"/>
        <v>40510.660000000003</v>
      </c>
      <c r="P82" s="39">
        <f t="shared" si="7"/>
        <v>-3338.594299999997</v>
      </c>
    </row>
    <row r="83" spans="1:16" x14ac:dyDescent="0.35">
      <c r="A83" s="39" t="s">
        <v>199</v>
      </c>
      <c r="B83" s="45">
        <v>45094</v>
      </c>
      <c r="C83" s="45" t="str">
        <f t="shared" si="4"/>
        <v>Jun</v>
      </c>
      <c r="D83" s="39" t="s">
        <v>81</v>
      </c>
      <c r="E83" s="39">
        <v>6</v>
      </c>
      <c r="F83" s="46" t="s">
        <v>24</v>
      </c>
      <c r="G83" s="39">
        <v>2388.9499999999998</v>
      </c>
      <c r="H83" s="39">
        <v>2742.97</v>
      </c>
      <c r="I83" s="39" t="s">
        <v>25</v>
      </c>
      <c r="J83" s="47">
        <v>0.25</v>
      </c>
      <c r="K83" s="39" t="s">
        <v>47</v>
      </c>
      <c r="L83" s="39" t="s">
        <v>27</v>
      </c>
      <c r="M83" s="39" t="s">
        <v>41</v>
      </c>
      <c r="N83" s="39">
        <f t="shared" si="5"/>
        <v>12343.365</v>
      </c>
      <c r="O83" s="39">
        <f t="shared" si="6"/>
        <v>14333.699999999999</v>
      </c>
      <c r="P83" s="39">
        <f t="shared" si="7"/>
        <v>-1990.3349999999991</v>
      </c>
    </row>
    <row r="84" spans="1:16" x14ac:dyDescent="0.35">
      <c r="A84" s="39" t="s">
        <v>201</v>
      </c>
      <c r="B84" s="45">
        <v>45056</v>
      </c>
      <c r="C84" s="45" t="str">
        <f t="shared" si="4"/>
        <v>May</v>
      </c>
      <c r="D84" s="39" t="s">
        <v>32</v>
      </c>
      <c r="E84" s="39">
        <v>19</v>
      </c>
      <c r="F84" s="46" t="s">
        <v>45</v>
      </c>
      <c r="G84" s="39">
        <v>1922.21</v>
      </c>
      <c r="H84" s="39">
        <v>2180.83</v>
      </c>
      <c r="I84" s="39" t="s">
        <v>25</v>
      </c>
      <c r="J84" s="47">
        <v>0.17</v>
      </c>
      <c r="K84" s="39" t="s">
        <v>47</v>
      </c>
      <c r="L84" s="39" t="s">
        <v>27</v>
      </c>
      <c r="M84" s="39" t="s">
        <v>28</v>
      </c>
      <c r="N84" s="39">
        <f t="shared" si="5"/>
        <v>34391.689099999996</v>
      </c>
      <c r="O84" s="39">
        <f t="shared" si="6"/>
        <v>36521.99</v>
      </c>
      <c r="P84" s="39">
        <f t="shared" si="7"/>
        <v>-2130.300900000002</v>
      </c>
    </row>
    <row r="85" spans="1:16" x14ac:dyDescent="0.35">
      <c r="A85" s="39" t="s">
        <v>202</v>
      </c>
      <c r="B85" s="45">
        <v>45010</v>
      </c>
      <c r="C85" s="45" t="str">
        <f t="shared" si="4"/>
        <v>Mar</v>
      </c>
      <c r="D85" s="39" t="s">
        <v>32</v>
      </c>
      <c r="E85" s="39">
        <v>38</v>
      </c>
      <c r="F85" s="46" t="s">
        <v>39</v>
      </c>
      <c r="G85" s="39">
        <v>2610.6</v>
      </c>
      <c r="H85" s="39">
        <v>3836.94</v>
      </c>
      <c r="I85" s="39" t="s">
        <v>25</v>
      </c>
      <c r="J85" s="47">
        <v>0.19</v>
      </c>
      <c r="K85" s="39" t="s">
        <v>47</v>
      </c>
      <c r="L85" s="39" t="s">
        <v>34</v>
      </c>
      <c r="M85" s="39" t="s">
        <v>41</v>
      </c>
      <c r="N85" s="39">
        <f t="shared" si="5"/>
        <v>118101.01320000002</v>
      </c>
      <c r="O85" s="39">
        <f t="shared" si="6"/>
        <v>99202.8</v>
      </c>
      <c r="P85" s="39">
        <f t="shared" si="7"/>
        <v>18898.213200000013</v>
      </c>
    </row>
    <row r="86" spans="1:16" x14ac:dyDescent="0.35">
      <c r="A86" s="39" t="s">
        <v>204</v>
      </c>
      <c r="B86" s="45">
        <v>45247</v>
      </c>
      <c r="C86" s="45" t="str">
        <f t="shared" si="4"/>
        <v>Nov</v>
      </c>
      <c r="D86" s="39" t="s">
        <v>81</v>
      </c>
      <c r="E86" s="39">
        <v>28</v>
      </c>
      <c r="F86" s="46" t="s">
        <v>45</v>
      </c>
      <c r="G86" s="39">
        <v>2094.88</v>
      </c>
      <c r="H86" s="39">
        <v>2168.91</v>
      </c>
      <c r="I86" s="39" t="s">
        <v>25</v>
      </c>
      <c r="J86" s="47">
        <v>0.08</v>
      </c>
      <c r="K86" s="39" t="s">
        <v>26</v>
      </c>
      <c r="L86" s="39" t="s">
        <v>34</v>
      </c>
      <c r="M86" s="39" t="s">
        <v>28</v>
      </c>
      <c r="N86" s="39">
        <f t="shared" si="5"/>
        <v>55871.121599999999</v>
      </c>
      <c r="O86" s="39">
        <f t="shared" si="6"/>
        <v>58656.639999999999</v>
      </c>
      <c r="P86" s="39">
        <f t="shared" si="7"/>
        <v>-2785.5184000000008</v>
      </c>
    </row>
    <row r="87" spans="1:16" x14ac:dyDescent="0.35">
      <c r="A87" s="39" t="s">
        <v>206</v>
      </c>
      <c r="B87" s="45">
        <v>45245</v>
      </c>
      <c r="C87" s="45" t="str">
        <f t="shared" si="4"/>
        <v>Nov</v>
      </c>
      <c r="D87" s="39" t="s">
        <v>81</v>
      </c>
      <c r="E87" s="39">
        <v>2</v>
      </c>
      <c r="F87" s="46" t="s">
        <v>24</v>
      </c>
      <c r="G87" s="39">
        <v>1036.76</v>
      </c>
      <c r="H87" s="39">
        <v>1189.3499999999999</v>
      </c>
      <c r="I87" s="39" t="s">
        <v>46</v>
      </c>
      <c r="J87" s="47">
        <v>0.27</v>
      </c>
      <c r="K87" s="39" t="s">
        <v>40</v>
      </c>
      <c r="L87" s="39" t="s">
        <v>34</v>
      </c>
      <c r="M87" s="39" t="s">
        <v>28</v>
      </c>
      <c r="N87" s="39">
        <f t="shared" si="5"/>
        <v>1736.4509999999998</v>
      </c>
      <c r="O87" s="39">
        <f t="shared" si="6"/>
        <v>2073.52</v>
      </c>
      <c r="P87" s="39">
        <f t="shared" si="7"/>
        <v>-337.06900000000019</v>
      </c>
    </row>
    <row r="88" spans="1:16" x14ac:dyDescent="0.35">
      <c r="A88" s="39" t="s">
        <v>207</v>
      </c>
      <c r="B88" s="45">
        <v>45027</v>
      </c>
      <c r="C88" s="45" t="str">
        <f t="shared" si="4"/>
        <v>Apr</v>
      </c>
      <c r="D88" s="39" t="s">
        <v>81</v>
      </c>
      <c r="E88" s="39">
        <v>38</v>
      </c>
      <c r="F88" s="46" t="s">
        <v>39</v>
      </c>
      <c r="G88" s="39">
        <v>2091.21</v>
      </c>
      <c r="H88" s="39">
        <v>2527</v>
      </c>
      <c r="I88" s="39" t="s">
        <v>25</v>
      </c>
      <c r="J88" s="47">
        <v>0.01</v>
      </c>
      <c r="K88" s="39" t="s">
        <v>47</v>
      </c>
      <c r="L88" s="39" t="s">
        <v>27</v>
      </c>
      <c r="M88" s="39" t="s">
        <v>41</v>
      </c>
      <c r="N88" s="39">
        <f t="shared" si="5"/>
        <v>95065.74</v>
      </c>
      <c r="O88" s="39">
        <f t="shared" si="6"/>
        <v>79465.98</v>
      </c>
      <c r="P88" s="39">
        <f t="shared" si="7"/>
        <v>15599.760000000009</v>
      </c>
    </row>
    <row r="89" spans="1:16" x14ac:dyDescent="0.35">
      <c r="A89" s="39" t="s">
        <v>208</v>
      </c>
      <c r="B89" s="45">
        <v>45255</v>
      </c>
      <c r="C89" s="45" t="str">
        <f t="shared" si="4"/>
        <v>Nov</v>
      </c>
      <c r="D89" s="39" t="s">
        <v>81</v>
      </c>
      <c r="E89" s="39">
        <v>37</v>
      </c>
      <c r="F89" s="46" t="s">
        <v>51</v>
      </c>
      <c r="G89" s="39">
        <v>407.77</v>
      </c>
      <c r="H89" s="39">
        <v>860.95</v>
      </c>
      <c r="I89" s="39" t="s">
        <v>46</v>
      </c>
      <c r="J89" s="47">
        <v>0.1</v>
      </c>
      <c r="K89" s="39" t="s">
        <v>47</v>
      </c>
      <c r="L89" s="39" t="s">
        <v>34</v>
      </c>
      <c r="M89" s="39" t="s">
        <v>28</v>
      </c>
      <c r="N89" s="39">
        <f t="shared" si="5"/>
        <v>28669.635000000002</v>
      </c>
      <c r="O89" s="39">
        <f t="shared" si="6"/>
        <v>15087.49</v>
      </c>
      <c r="P89" s="39">
        <f t="shared" si="7"/>
        <v>13582.145000000002</v>
      </c>
    </row>
    <row r="90" spans="1:16" x14ac:dyDescent="0.35">
      <c r="A90" s="39" t="s">
        <v>210</v>
      </c>
      <c r="B90" s="45">
        <v>45199</v>
      </c>
      <c r="C90" s="45" t="str">
        <f t="shared" si="4"/>
        <v>Sep</v>
      </c>
      <c r="D90" s="39" t="s">
        <v>22</v>
      </c>
      <c r="E90" s="39">
        <v>4</v>
      </c>
      <c r="F90" s="46" t="s">
        <v>24</v>
      </c>
      <c r="G90" s="39">
        <v>2900.14</v>
      </c>
      <c r="H90" s="39">
        <v>2910.51</v>
      </c>
      <c r="I90" s="39" t="s">
        <v>46</v>
      </c>
      <c r="J90" s="47">
        <v>0.22</v>
      </c>
      <c r="K90" s="39" t="s">
        <v>47</v>
      </c>
      <c r="L90" s="39" t="s">
        <v>27</v>
      </c>
      <c r="M90" s="39" t="s">
        <v>41</v>
      </c>
      <c r="N90" s="39">
        <f t="shared" si="5"/>
        <v>9080.7912000000015</v>
      </c>
      <c r="O90" s="39">
        <f t="shared" si="6"/>
        <v>11600.56</v>
      </c>
      <c r="P90" s="39">
        <f t="shared" si="7"/>
        <v>-2519.768799999998</v>
      </c>
    </row>
    <row r="91" spans="1:16" x14ac:dyDescent="0.35">
      <c r="A91" s="39" t="s">
        <v>211</v>
      </c>
      <c r="B91" s="45">
        <v>45191</v>
      </c>
      <c r="C91" s="45" t="str">
        <f t="shared" si="4"/>
        <v>Sep</v>
      </c>
      <c r="D91" s="39" t="s">
        <v>38</v>
      </c>
      <c r="E91" s="39">
        <v>22</v>
      </c>
      <c r="F91" s="46" t="s">
        <v>51</v>
      </c>
      <c r="G91" s="39">
        <v>4275.59</v>
      </c>
      <c r="H91" s="39">
        <v>4576.72</v>
      </c>
      <c r="I91" s="39" t="s">
        <v>25</v>
      </c>
      <c r="J91" s="47">
        <v>0.02</v>
      </c>
      <c r="K91" s="39" t="s">
        <v>26</v>
      </c>
      <c r="L91" s="39" t="s">
        <v>27</v>
      </c>
      <c r="M91" s="39" t="s">
        <v>35</v>
      </c>
      <c r="N91" s="39">
        <f t="shared" si="5"/>
        <v>98674.083200000008</v>
      </c>
      <c r="O91" s="39">
        <f t="shared" si="6"/>
        <v>94062.98000000001</v>
      </c>
      <c r="P91" s="39">
        <f t="shared" si="7"/>
        <v>4611.1031999999977</v>
      </c>
    </row>
    <row r="92" spans="1:16" x14ac:dyDescent="0.35">
      <c r="A92" s="39" t="s">
        <v>212</v>
      </c>
      <c r="B92" s="45">
        <v>44964</v>
      </c>
      <c r="C92" s="45" t="str">
        <f t="shared" si="4"/>
        <v>Feb</v>
      </c>
      <c r="D92" s="39" t="s">
        <v>38</v>
      </c>
      <c r="E92" s="39">
        <v>26</v>
      </c>
      <c r="F92" s="46" t="s">
        <v>39</v>
      </c>
      <c r="G92" s="39">
        <v>3640.17</v>
      </c>
      <c r="H92" s="39">
        <v>4002.63</v>
      </c>
      <c r="I92" s="39" t="s">
        <v>46</v>
      </c>
      <c r="J92" s="47">
        <v>0.05</v>
      </c>
      <c r="K92" s="39" t="s">
        <v>47</v>
      </c>
      <c r="L92" s="39" t="s">
        <v>34</v>
      </c>
      <c r="M92" s="39" t="s">
        <v>35</v>
      </c>
      <c r="N92" s="39">
        <f t="shared" si="5"/>
        <v>98864.960999999996</v>
      </c>
      <c r="O92" s="39">
        <f t="shared" si="6"/>
        <v>94644.42</v>
      </c>
      <c r="P92" s="39">
        <f t="shared" si="7"/>
        <v>4220.5409999999974</v>
      </c>
    </row>
    <row r="93" spans="1:16" x14ac:dyDescent="0.35">
      <c r="A93" s="39" t="s">
        <v>213</v>
      </c>
      <c r="B93" s="45">
        <v>45020</v>
      </c>
      <c r="C93" s="45" t="str">
        <f t="shared" si="4"/>
        <v>Apr</v>
      </c>
      <c r="D93" s="39" t="s">
        <v>81</v>
      </c>
      <c r="E93" s="39">
        <v>49</v>
      </c>
      <c r="F93" s="46" t="s">
        <v>24</v>
      </c>
      <c r="G93" s="39">
        <v>1833.95</v>
      </c>
      <c r="H93" s="39">
        <v>2147.14</v>
      </c>
      <c r="I93" s="39" t="s">
        <v>25</v>
      </c>
      <c r="J93" s="47">
        <v>0.18</v>
      </c>
      <c r="K93" s="39" t="s">
        <v>47</v>
      </c>
      <c r="L93" s="39" t="s">
        <v>34</v>
      </c>
      <c r="M93" s="39" t="s">
        <v>28</v>
      </c>
      <c r="N93" s="39">
        <f t="shared" si="5"/>
        <v>86272.085200000001</v>
      </c>
      <c r="O93" s="39">
        <f t="shared" si="6"/>
        <v>89863.55</v>
      </c>
      <c r="P93" s="39">
        <f t="shared" si="7"/>
        <v>-3591.4648000000016</v>
      </c>
    </row>
    <row r="94" spans="1:16" x14ac:dyDescent="0.35">
      <c r="A94" s="39" t="s">
        <v>215</v>
      </c>
      <c r="B94" s="45">
        <v>45021</v>
      </c>
      <c r="C94" s="45" t="str">
        <f t="shared" si="4"/>
        <v>Apr</v>
      </c>
      <c r="D94" s="39" t="s">
        <v>38</v>
      </c>
      <c r="E94" s="39">
        <v>43</v>
      </c>
      <c r="F94" s="46" t="s">
        <v>24</v>
      </c>
      <c r="G94" s="39">
        <v>481</v>
      </c>
      <c r="H94" s="39">
        <v>531.02</v>
      </c>
      <c r="I94" s="39" t="s">
        <v>46</v>
      </c>
      <c r="J94" s="47">
        <v>0.17</v>
      </c>
      <c r="K94" s="39" t="s">
        <v>26</v>
      </c>
      <c r="L94" s="39" t="s">
        <v>27</v>
      </c>
      <c r="M94" s="39" t="s">
        <v>41</v>
      </c>
      <c r="N94" s="39">
        <f t="shared" si="5"/>
        <v>18952.103800000001</v>
      </c>
      <c r="O94" s="39">
        <f t="shared" si="6"/>
        <v>20683</v>
      </c>
      <c r="P94" s="39">
        <f t="shared" si="7"/>
        <v>-1730.8961999999992</v>
      </c>
    </row>
    <row r="95" spans="1:16" x14ac:dyDescent="0.35">
      <c r="A95" s="39" t="s">
        <v>217</v>
      </c>
      <c r="B95" s="45">
        <v>45231</v>
      </c>
      <c r="C95" s="45" t="str">
        <f t="shared" si="4"/>
        <v>Nov</v>
      </c>
      <c r="D95" s="39" t="s">
        <v>38</v>
      </c>
      <c r="E95" s="39">
        <v>36</v>
      </c>
      <c r="F95" s="46" t="s">
        <v>39</v>
      </c>
      <c r="G95" s="39">
        <v>1050.6400000000001</v>
      </c>
      <c r="H95" s="39">
        <v>1167.33</v>
      </c>
      <c r="I95" s="39" t="s">
        <v>46</v>
      </c>
      <c r="J95" s="47">
        <v>0.22</v>
      </c>
      <c r="K95" s="39" t="s">
        <v>26</v>
      </c>
      <c r="L95" s="39" t="s">
        <v>27</v>
      </c>
      <c r="M95" s="39" t="s">
        <v>41</v>
      </c>
      <c r="N95" s="39">
        <f t="shared" si="5"/>
        <v>32778.626400000001</v>
      </c>
      <c r="O95" s="39">
        <f t="shared" si="6"/>
        <v>37823.040000000001</v>
      </c>
      <c r="P95" s="39">
        <f t="shared" si="7"/>
        <v>-5044.4135999999999</v>
      </c>
    </row>
    <row r="96" spans="1:16" x14ac:dyDescent="0.35">
      <c r="A96" s="39" t="s">
        <v>218</v>
      </c>
      <c r="B96" s="45">
        <v>44995</v>
      </c>
      <c r="C96" s="45" t="str">
        <f t="shared" si="4"/>
        <v>Mar</v>
      </c>
      <c r="D96" s="39" t="s">
        <v>81</v>
      </c>
      <c r="E96" s="39">
        <v>13</v>
      </c>
      <c r="F96" s="46" t="s">
        <v>45</v>
      </c>
      <c r="G96" s="39">
        <v>2750.18</v>
      </c>
      <c r="H96" s="39">
        <v>2882.85</v>
      </c>
      <c r="I96" s="39" t="s">
        <v>25</v>
      </c>
      <c r="J96" s="47">
        <v>0.24</v>
      </c>
      <c r="K96" s="39" t="s">
        <v>47</v>
      </c>
      <c r="L96" s="39" t="s">
        <v>34</v>
      </c>
      <c r="M96" s="39" t="s">
        <v>35</v>
      </c>
      <c r="N96" s="39">
        <f t="shared" si="5"/>
        <v>28482.557999999997</v>
      </c>
      <c r="O96" s="39">
        <f t="shared" si="6"/>
        <v>35752.339999999997</v>
      </c>
      <c r="P96" s="39">
        <f t="shared" si="7"/>
        <v>-7269.7819999999992</v>
      </c>
    </row>
    <row r="97" spans="1:16" x14ac:dyDescent="0.35">
      <c r="A97" s="39" t="s">
        <v>219</v>
      </c>
      <c r="B97" s="45">
        <v>45244</v>
      </c>
      <c r="C97" s="45" t="str">
        <f t="shared" si="4"/>
        <v>Nov</v>
      </c>
      <c r="D97" s="39" t="s">
        <v>38</v>
      </c>
      <c r="E97" s="39">
        <v>32</v>
      </c>
      <c r="F97" s="46" t="s">
        <v>24</v>
      </c>
      <c r="G97" s="39">
        <v>1074.93</v>
      </c>
      <c r="H97" s="39">
        <v>1492.48</v>
      </c>
      <c r="I97" s="39" t="s">
        <v>25</v>
      </c>
      <c r="J97" s="47">
        <v>0.04</v>
      </c>
      <c r="K97" s="39" t="s">
        <v>47</v>
      </c>
      <c r="L97" s="39" t="s">
        <v>34</v>
      </c>
      <c r="M97" s="39" t="s">
        <v>35</v>
      </c>
      <c r="N97" s="39">
        <f t="shared" si="5"/>
        <v>45848.9856</v>
      </c>
      <c r="O97" s="39">
        <f t="shared" si="6"/>
        <v>34397.760000000002</v>
      </c>
      <c r="P97" s="39">
        <f t="shared" si="7"/>
        <v>11451.225599999998</v>
      </c>
    </row>
    <row r="98" spans="1:16" x14ac:dyDescent="0.35">
      <c r="A98" s="39" t="s">
        <v>221</v>
      </c>
      <c r="B98" s="45">
        <v>45162</v>
      </c>
      <c r="C98" s="45" t="str">
        <f t="shared" si="4"/>
        <v>Aug</v>
      </c>
      <c r="D98" s="39" t="s">
        <v>32</v>
      </c>
      <c r="E98" s="39">
        <v>17</v>
      </c>
      <c r="F98" s="46" t="s">
        <v>24</v>
      </c>
      <c r="G98" s="39">
        <v>2742.67</v>
      </c>
      <c r="H98" s="39">
        <v>2979.64</v>
      </c>
      <c r="I98" s="39" t="s">
        <v>25</v>
      </c>
      <c r="J98" s="47">
        <v>0.01</v>
      </c>
      <c r="K98" s="39" t="s">
        <v>26</v>
      </c>
      <c r="L98" s="39" t="s">
        <v>34</v>
      </c>
      <c r="M98" s="39" t="s">
        <v>41</v>
      </c>
      <c r="N98" s="39">
        <f t="shared" si="5"/>
        <v>50147.341199999995</v>
      </c>
      <c r="O98" s="39">
        <f t="shared" si="6"/>
        <v>46625.39</v>
      </c>
      <c r="P98" s="39">
        <f t="shared" si="7"/>
        <v>3521.9511999999959</v>
      </c>
    </row>
    <row r="99" spans="1:16" x14ac:dyDescent="0.35">
      <c r="A99" s="39" t="s">
        <v>223</v>
      </c>
      <c r="B99" s="45">
        <v>45260</v>
      </c>
      <c r="C99" s="45" t="str">
        <f t="shared" si="4"/>
        <v>Nov</v>
      </c>
      <c r="D99" s="39" t="s">
        <v>54</v>
      </c>
      <c r="E99" s="39">
        <v>41</v>
      </c>
      <c r="F99" s="46" t="s">
        <v>51</v>
      </c>
      <c r="G99" s="39">
        <v>1196.42</v>
      </c>
      <c r="H99" s="39">
        <v>1444.97</v>
      </c>
      <c r="I99" s="39" t="s">
        <v>25</v>
      </c>
      <c r="J99" s="47">
        <v>0.21</v>
      </c>
      <c r="K99" s="39" t="s">
        <v>40</v>
      </c>
      <c r="L99" s="39" t="s">
        <v>27</v>
      </c>
      <c r="M99" s="39" t="s">
        <v>28</v>
      </c>
      <c r="N99" s="39">
        <f t="shared" si="5"/>
        <v>46802.578300000008</v>
      </c>
      <c r="O99" s="39">
        <f t="shared" si="6"/>
        <v>49053.22</v>
      </c>
      <c r="P99" s="39">
        <f t="shared" si="7"/>
        <v>-2250.6416999999929</v>
      </c>
    </row>
    <row r="100" spans="1:16" x14ac:dyDescent="0.35">
      <c r="A100" s="39" t="s">
        <v>225</v>
      </c>
      <c r="B100" s="45">
        <v>45063</v>
      </c>
      <c r="C100" s="45" t="str">
        <f t="shared" si="4"/>
        <v>May</v>
      </c>
      <c r="D100" s="39" t="s">
        <v>54</v>
      </c>
      <c r="E100" s="39">
        <v>36</v>
      </c>
      <c r="F100" s="46" t="s">
        <v>45</v>
      </c>
      <c r="G100" s="39">
        <v>4252.17</v>
      </c>
      <c r="H100" s="39">
        <v>4720.2700000000004</v>
      </c>
      <c r="I100" s="39" t="s">
        <v>46</v>
      </c>
      <c r="J100" s="47">
        <v>0.09</v>
      </c>
      <c r="K100" s="39" t="s">
        <v>26</v>
      </c>
      <c r="L100" s="39" t="s">
        <v>27</v>
      </c>
      <c r="M100" s="39" t="s">
        <v>35</v>
      </c>
      <c r="N100" s="39">
        <f t="shared" si="5"/>
        <v>154636.04520000002</v>
      </c>
      <c r="O100" s="39">
        <f t="shared" si="6"/>
        <v>153078.12</v>
      </c>
      <c r="P100" s="39">
        <f t="shared" si="7"/>
        <v>1557.925200000027</v>
      </c>
    </row>
    <row r="101" spans="1:16" x14ac:dyDescent="0.35">
      <c r="A101" s="39" t="s">
        <v>226</v>
      </c>
      <c r="B101" s="45">
        <v>45002</v>
      </c>
      <c r="C101" s="45" t="str">
        <f t="shared" si="4"/>
        <v>Mar</v>
      </c>
      <c r="D101" s="39" t="s">
        <v>81</v>
      </c>
      <c r="E101" s="39">
        <v>46</v>
      </c>
      <c r="F101" s="46" t="s">
        <v>51</v>
      </c>
      <c r="G101" s="39">
        <v>2016.49</v>
      </c>
      <c r="H101" s="39">
        <v>2338.66</v>
      </c>
      <c r="I101" s="39" t="s">
        <v>25</v>
      </c>
      <c r="J101" s="47">
        <v>0.19</v>
      </c>
      <c r="K101" s="39" t="s">
        <v>40</v>
      </c>
      <c r="L101" s="39" t="s">
        <v>27</v>
      </c>
      <c r="M101" s="39" t="s">
        <v>28</v>
      </c>
      <c r="N101" s="39">
        <f t="shared" si="5"/>
        <v>87138.47159999999</v>
      </c>
      <c r="O101" s="39">
        <f t="shared" si="6"/>
        <v>92758.54</v>
      </c>
      <c r="P101" s="39">
        <f t="shared" si="7"/>
        <v>-5620.0684000000037</v>
      </c>
    </row>
    <row r="102" spans="1:16" x14ac:dyDescent="0.35">
      <c r="A102" s="39" t="s">
        <v>227</v>
      </c>
      <c r="B102" s="45">
        <v>44961</v>
      </c>
      <c r="C102" s="45" t="str">
        <f t="shared" si="4"/>
        <v>Feb</v>
      </c>
      <c r="D102" s="39" t="s">
        <v>22</v>
      </c>
      <c r="E102" s="39">
        <v>19</v>
      </c>
      <c r="F102" s="46" t="s">
        <v>51</v>
      </c>
      <c r="G102" s="39">
        <v>1265.48</v>
      </c>
      <c r="H102" s="39">
        <v>1715.83</v>
      </c>
      <c r="I102" s="39" t="s">
        <v>46</v>
      </c>
      <c r="J102" s="47">
        <v>0.05</v>
      </c>
      <c r="K102" s="39" t="s">
        <v>47</v>
      </c>
      <c r="L102" s="39" t="s">
        <v>27</v>
      </c>
      <c r="M102" s="39" t="s">
        <v>28</v>
      </c>
      <c r="N102" s="39">
        <f t="shared" si="5"/>
        <v>30970.731499999994</v>
      </c>
      <c r="O102" s="39">
        <f t="shared" si="6"/>
        <v>24044.12</v>
      </c>
      <c r="P102" s="39">
        <f t="shared" si="7"/>
        <v>6926.6114999999954</v>
      </c>
    </row>
    <row r="103" spans="1:16" x14ac:dyDescent="0.35">
      <c r="A103" s="39" t="s">
        <v>229</v>
      </c>
      <c r="B103" s="45">
        <v>44927</v>
      </c>
      <c r="C103" s="45" t="str">
        <f t="shared" si="4"/>
        <v>Jan</v>
      </c>
      <c r="D103" s="39" t="s">
        <v>81</v>
      </c>
      <c r="E103" s="39">
        <v>35</v>
      </c>
      <c r="F103" s="46" t="s">
        <v>45</v>
      </c>
      <c r="G103" s="39">
        <v>4071.01</v>
      </c>
      <c r="H103" s="39">
        <v>4304.7</v>
      </c>
      <c r="I103" s="39" t="s">
        <v>46</v>
      </c>
      <c r="J103" s="47">
        <v>0.14000000000000001</v>
      </c>
      <c r="K103" s="39" t="s">
        <v>47</v>
      </c>
      <c r="L103" s="39" t="s">
        <v>27</v>
      </c>
      <c r="M103" s="39" t="s">
        <v>35</v>
      </c>
      <c r="N103" s="39">
        <f t="shared" si="5"/>
        <v>129571.47</v>
      </c>
      <c r="O103" s="39">
        <f t="shared" si="6"/>
        <v>142485.35</v>
      </c>
      <c r="P103" s="39">
        <f t="shared" si="7"/>
        <v>-12913.880000000005</v>
      </c>
    </row>
    <row r="104" spans="1:16" x14ac:dyDescent="0.35">
      <c r="A104" s="39" t="s">
        <v>230</v>
      </c>
      <c r="B104" s="45">
        <v>45222</v>
      </c>
      <c r="C104" s="45" t="str">
        <f t="shared" si="4"/>
        <v>Oct</v>
      </c>
      <c r="D104" s="39" t="s">
        <v>22</v>
      </c>
      <c r="E104" s="39">
        <v>46</v>
      </c>
      <c r="F104" s="46" t="s">
        <v>45</v>
      </c>
      <c r="G104" s="39">
        <v>1747.05</v>
      </c>
      <c r="H104" s="39">
        <v>1830.27</v>
      </c>
      <c r="I104" s="39" t="s">
        <v>46</v>
      </c>
      <c r="J104" s="47">
        <v>0.15</v>
      </c>
      <c r="K104" s="39" t="s">
        <v>40</v>
      </c>
      <c r="L104" s="39" t="s">
        <v>34</v>
      </c>
      <c r="M104" s="39" t="s">
        <v>28</v>
      </c>
      <c r="N104" s="39">
        <f t="shared" si="5"/>
        <v>71563.557000000001</v>
      </c>
      <c r="O104" s="39">
        <f t="shared" si="6"/>
        <v>80364.3</v>
      </c>
      <c r="P104" s="39">
        <f t="shared" si="7"/>
        <v>-8800.7430000000022</v>
      </c>
    </row>
    <row r="105" spans="1:16" x14ac:dyDescent="0.35">
      <c r="A105" s="39" t="s">
        <v>232</v>
      </c>
      <c r="B105" s="45">
        <v>45246</v>
      </c>
      <c r="C105" s="45" t="str">
        <f t="shared" si="4"/>
        <v>Nov</v>
      </c>
      <c r="D105" s="39" t="s">
        <v>54</v>
      </c>
      <c r="E105" s="39">
        <v>40</v>
      </c>
      <c r="F105" s="46" t="s">
        <v>39</v>
      </c>
      <c r="G105" s="39">
        <v>601.86</v>
      </c>
      <c r="H105" s="39">
        <v>1067.53</v>
      </c>
      <c r="I105" s="39" t="s">
        <v>46</v>
      </c>
      <c r="J105" s="47">
        <v>0.18</v>
      </c>
      <c r="K105" s="39" t="s">
        <v>26</v>
      </c>
      <c r="L105" s="39" t="s">
        <v>34</v>
      </c>
      <c r="M105" s="39" t="s">
        <v>28</v>
      </c>
      <c r="N105" s="39">
        <f t="shared" si="5"/>
        <v>35014.983999999997</v>
      </c>
      <c r="O105" s="39">
        <f t="shared" si="6"/>
        <v>24074.400000000001</v>
      </c>
      <c r="P105" s="39">
        <f t="shared" si="7"/>
        <v>10940.583999999995</v>
      </c>
    </row>
    <row r="106" spans="1:16" x14ac:dyDescent="0.35">
      <c r="A106" s="39" t="s">
        <v>233</v>
      </c>
      <c r="B106" s="45">
        <v>44986</v>
      </c>
      <c r="C106" s="45" t="str">
        <f t="shared" si="4"/>
        <v>Mar</v>
      </c>
      <c r="D106" s="39" t="s">
        <v>81</v>
      </c>
      <c r="E106" s="39">
        <v>28</v>
      </c>
      <c r="F106" s="46" t="s">
        <v>45</v>
      </c>
      <c r="G106" s="39">
        <v>2873.53</v>
      </c>
      <c r="H106" s="39">
        <v>3108.3</v>
      </c>
      <c r="I106" s="39" t="s">
        <v>46</v>
      </c>
      <c r="J106" s="47">
        <v>0.15</v>
      </c>
      <c r="K106" s="39" t="s">
        <v>47</v>
      </c>
      <c r="L106" s="39" t="s">
        <v>27</v>
      </c>
      <c r="M106" s="39" t="s">
        <v>41</v>
      </c>
      <c r="N106" s="39">
        <f t="shared" si="5"/>
        <v>73977.540000000008</v>
      </c>
      <c r="O106" s="39">
        <f t="shared" si="6"/>
        <v>80458.840000000011</v>
      </c>
      <c r="P106" s="39">
        <f t="shared" si="7"/>
        <v>-6481.3000000000029</v>
      </c>
    </row>
    <row r="107" spans="1:16" x14ac:dyDescent="0.35">
      <c r="A107" s="39" t="s">
        <v>234</v>
      </c>
      <c r="B107" s="45">
        <v>45246</v>
      </c>
      <c r="C107" s="45" t="str">
        <f t="shared" si="4"/>
        <v>Nov</v>
      </c>
      <c r="D107" s="39" t="s">
        <v>32</v>
      </c>
      <c r="E107" s="39">
        <v>1</v>
      </c>
      <c r="F107" s="46" t="s">
        <v>24</v>
      </c>
      <c r="G107" s="39">
        <v>2928.74</v>
      </c>
      <c r="H107" s="39">
        <v>3027.74</v>
      </c>
      <c r="I107" s="39" t="s">
        <v>46</v>
      </c>
      <c r="J107" s="47">
        <v>0.15</v>
      </c>
      <c r="K107" s="39" t="s">
        <v>40</v>
      </c>
      <c r="L107" s="39" t="s">
        <v>27</v>
      </c>
      <c r="M107" s="39" t="s">
        <v>28</v>
      </c>
      <c r="N107" s="39">
        <f t="shared" si="5"/>
        <v>2573.5789999999997</v>
      </c>
      <c r="O107" s="39">
        <f t="shared" si="6"/>
        <v>2928.74</v>
      </c>
      <c r="P107" s="39">
        <f t="shared" si="7"/>
        <v>-355.16100000000006</v>
      </c>
    </row>
    <row r="108" spans="1:16" x14ac:dyDescent="0.35">
      <c r="A108" s="39" t="s">
        <v>236</v>
      </c>
      <c r="B108" s="45">
        <v>45275</v>
      </c>
      <c r="C108" s="45" t="str">
        <f t="shared" si="4"/>
        <v>Dec</v>
      </c>
      <c r="D108" s="39" t="s">
        <v>38</v>
      </c>
      <c r="E108" s="39">
        <v>42</v>
      </c>
      <c r="F108" s="46" t="s">
        <v>45</v>
      </c>
      <c r="G108" s="39">
        <v>3587.74</v>
      </c>
      <c r="H108" s="39">
        <v>4745.91</v>
      </c>
      <c r="I108" s="39" t="s">
        <v>25</v>
      </c>
      <c r="J108" s="47">
        <v>0.1</v>
      </c>
      <c r="K108" s="39" t="s">
        <v>26</v>
      </c>
      <c r="L108" s="39" t="s">
        <v>34</v>
      </c>
      <c r="M108" s="39" t="s">
        <v>41</v>
      </c>
      <c r="N108" s="39">
        <f t="shared" si="5"/>
        <v>179395.39800000002</v>
      </c>
      <c r="O108" s="39">
        <f t="shared" si="6"/>
        <v>150685.07999999999</v>
      </c>
      <c r="P108" s="39">
        <f t="shared" si="7"/>
        <v>28710.318000000028</v>
      </c>
    </row>
    <row r="109" spans="1:16" x14ac:dyDescent="0.35">
      <c r="A109" s="39" t="s">
        <v>237</v>
      </c>
      <c r="B109" s="45">
        <v>45254</v>
      </c>
      <c r="C109" s="45" t="str">
        <f t="shared" si="4"/>
        <v>Nov</v>
      </c>
      <c r="D109" s="39" t="s">
        <v>22</v>
      </c>
      <c r="E109" s="39">
        <v>18</v>
      </c>
      <c r="F109" s="46" t="s">
        <v>39</v>
      </c>
      <c r="G109" s="39">
        <v>1239.0899999999999</v>
      </c>
      <c r="H109" s="39">
        <v>1273.98</v>
      </c>
      <c r="I109" s="39" t="s">
        <v>46</v>
      </c>
      <c r="J109" s="47">
        <v>0.02</v>
      </c>
      <c r="K109" s="39" t="s">
        <v>40</v>
      </c>
      <c r="L109" s="39" t="s">
        <v>34</v>
      </c>
      <c r="M109" s="39" t="s">
        <v>35</v>
      </c>
      <c r="N109" s="39">
        <f t="shared" si="5"/>
        <v>22473.0072</v>
      </c>
      <c r="O109" s="39">
        <f t="shared" si="6"/>
        <v>22303.62</v>
      </c>
      <c r="P109" s="39">
        <f t="shared" si="7"/>
        <v>169.38720000000103</v>
      </c>
    </row>
    <row r="110" spans="1:16" x14ac:dyDescent="0.35">
      <c r="A110" s="39" t="s">
        <v>238</v>
      </c>
      <c r="B110" s="45">
        <v>45193</v>
      </c>
      <c r="C110" s="45" t="str">
        <f t="shared" si="4"/>
        <v>Sep</v>
      </c>
      <c r="D110" s="39" t="s">
        <v>38</v>
      </c>
      <c r="E110" s="39">
        <v>48</v>
      </c>
      <c r="F110" s="46" t="s">
        <v>39</v>
      </c>
      <c r="G110" s="39">
        <v>2246.67</v>
      </c>
      <c r="H110" s="39">
        <v>2486.14</v>
      </c>
      <c r="I110" s="39" t="s">
        <v>46</v>
      </c>
      <c r="J110" s="47">
        <v>0.03</v>
      </c>
      <c r="K110" s="39" t="s">
        <v>26</v>
      </c>
      <c r="L110" s="39" t="s">
        <v>34</v>
      </c>
      <c r="M110" s="39" t="s">
        <v>35</v>
      </c>
      <c r="N110" s="39">
        <f t="shared" si="5"/>
        <v>115754.6784</v>
      </c>
      <c r="O110" s="39">
        <f t="shared" si="6"/>
        <v>107840.16</v>
      </c>
      <c r="P110" s="39">
        <f t="shared" si="7"/>
        <v>7914.5184000000008</v>
      </c>
    </row>
    <row r="111" spans="1:16" x14ac:dyDescent="0.35">
      <c r="A111" s="39" t="s">
        <v>240</v>
      </c>
      <c r="B111" s="45">
        <v>45287</v>
      </c>
      <c r="C111" s="45" t="str">
        <f t="shared" si="4"/>
        <v>Dec</v>
      </c>
      <c r="D111" s="39" t="s">
        <v>38</v>
      </c>
      <c r="E111" s="39">
        <v>40</v>
      </c>
      <c r="F111" s="46" t="s">
        <v>39</v>
      </c>
      <c r="G111" s="39">
        <v>1447.72</v>
      </c>
      <c r="H111" s="39">
        <v>1875.75</v>
      </c>
      <c r="I111" s="39" t="s">
        <v>46</v>
      </c>
      <c r="J111" s="47">
        <v>0.13</v>
      </c>
      <c r="K111" s="39" t="s">
        <v>26</v>
      </c>
      <c r="L111" s="39" t="s">
        <v>34</v>
      </c>
      <c r="M111" s="39" t="s">
        <v>41</v>
      </c>
      <c r="N111" s="39">
        <f t="shared" si="5"/>
        <v>65276.1</v>
      </c>
      <c r="O111" s="39">
        <f t="shared" si="6"/>
        <v>57908.800000000003</v>
      </c>
      <c r="P111" s="39">
        <f t="shared" si="7"/>
        <v>7367.2999999999956</v>
      </c>
    </row>
    <row r="112" spans="1:16" x14ac:dyDescent="0.35">
      <c r="A112" s="39" t="s">
        <v>242</v>
      </c>
      <c r="B112" s="45">
        <v>45155</v>
      </c>
      <c r="C112" s="45" t="str">
        <f t="shared" si="4"/>
        <v>Aug</v>
      </c>
      <c r="D112" s="39" t="s">
        <v>81</v>
      </c>
      <c r="E112" s="39">
        <v>33</v>
      </c>
      <c r="F112" s="46" t="s">
        <v>45</v>
      </c>
      <c r="G112" s="39">
        <v>450.72</v>
      </c>
      <c r="H112" s="39">
        <v>918.17</v>
      </c>
      <c r="I112" s="39" t="s">
        <v>25</v>
      </c>
      <c r="J112" s="47">
        <v>0.11</v>
      </c>
      <c r="K112" s="39" t="s">
        <v>26</v>
      </c>
      <c r="L112" s="39" t="s">
        <v>27</v>
      </c>
      <c r="M112" s="39" t="s">
        <v>35</v>
      </c>
      <c r="N112" s="39">
        <f t="shared" si="5"/>
        <v>26966.652899999997</v>
      </c>
      <c r="O112" s="39">
        <f t="shared" si="6"/>
        <v>14873.76</v>
      </c>
      <c r="P112" s="39">
        <f t="shared" si="7"/>
        <v>12092.892899999997</v>
      </c>
    </row>
    <row r="113" spans="1:16" x14ac:dyDescent="0.35">
      <c r="A113" s="39" t="s">
        <v>243</v>
      </c>
      <c r="B113" s="45">
        <v>45196</v>
      </c>
      <c r="C113" s="45" t="str">
        <f t="shared" si="4"/>
        <v>Sep</v>
      </c>
      <c r="D113" s="39" t="s">
        <v>38</v>
      </c>
      <c r="E113" s="39">
        <v>12</v>
      </c>
      <c r="F113" s="46" t="s">
        <v>45</v>
      </c>
      <c r="G113" s="39">
        <v>4389.24</v>
      </c>
      <c r="H113" s="39">
        <v>4856.22</v>
      </c>
      <c r="I113" s="39" t="s">
        <v>25</v>
      </c>
      <c r="J113" s="47">
        <v>0.15</v>
      </c>
      <c r="K113" s="39" t="s">
        <v>26</v>
      </c>
      <c r="L113" s="39" t="s">
        <v>34</v>
      </c>
      <c r="M113" s="39" t="s">
        <v>28</v>
      </c>
      <c r="N113" s="39">
        <f t="shared" si="5"/>
        <v>49533.443999999996</v>
      </c>
      <c r="O113" s="39">
        <f t="shared" si="6"/>
        <v>52670.879999999997</v>
      </c>
      <c r="P113" s="39">
        <f t="shared" si="7"/>
        <v>-3137.4360000000015</v>
      </c>
    </row>
    <row r="114" spans="1:16" x14ac:dyDescent="0.35">
      <c r="A114" s="39" t="s">
        <v>245</v>
      </c>
      <c r="B114" s="45">
        <v>45242</v>
      </c>
      <c r="C114" s="45" t="str">
        <f t="shared" si="4"/>
        <v>Nov</v>
      </c>
      <c r="D114" s="39" t="s">
        <v>32</v>
      </c>
      <c r="E114" s="39">
        <v>8</v>
      </c>
      <c r="F114" s="46" t="s">
        <v>51</v>
      </c>
      <c r="G114" s="39">
        <v>3657.91</v>
      </c>
      <c r="H114" s="39">
        <v>3729.27</v>
      </c>
      <c r="I114" s="39" t="s">
        <v>46</v>
      </c>
      <c r="J114" s="47">
        <v>0.09</v>
      </c>
      <c r="K114" s="39" t="s">
        <v>40</v>
      </c>
      <c r="L114" s="39" t="s">
        <v>27</v>
      </c>
      <c r="M114" s="39" t="s">
        <v>28</v>
      </c>
      <c r="N114" s="39">
        <f t="shared" si="5"/>
        <v>27149.085600000002</v>
      </c>
      <c r="O114" s="39">
        <f t="shared" si="6"/>
        <v>29263.279999999999</v>
      </c>
      <c r="P114" s="39">
        <f t="shared" si="7"/>
        <v>-2114.1943999999967</v>
      </c>
    </row>
    <row r="115" spans="1:16" x14ac:dyDescent="0.35">
      <c r="A115" s="39" t="s">
        <v>247</v>
      </c>
      <c r="B115" s="45">
        <v>45212</v>
      </c>
      <c r="C115" s="45" t="str">
        <f t="shared" si="4"/>
        <v>Oct</v>
      </c>
      <c r="D115" s="39" t="s">
        <v>38</v>
      </c>
      <c r="E115" s="39">
        <v>24</v>
      </c>
      <c r="F115" s="46" t="s">
        <v>51</v>
      </c>
      <c r="G115" s="39">
        <v>1542.24</v>
      </c>
      <c r="H115" s="39">
        <v>1739.45</v>
      </c>
      <c r="I115" s="39" t="s">
        <v>25</v>
      </c>
      <c r="J115" s="47">
        <v>0.21</v>
      </c>
      <c r="K115" s="39" t="s">
        <v>40</v>
      </c>
      <c r="L115" s="39" t="s">
        <v>34</v>
      </c>
      <c r="M115" s="39" t="s">
        <v>28</v>
      </c>
      <c r="N115" s="39">
        <f t="shared" si="5"/>
        <v>32979.972000000002</v>
      </c>
      <c r="O115" s="39">
        <f t="shared" si="6"/>
        <v>37013.760000000002</v>
      </c>
      <c r="P115" s="39">
        <f t="shared" si="7"/>
        <v>-4033.7880000000005</v>
      </c>
    </row>
    <row r="116" spans="1:16" x14ac:dyDescent="0.35">
      <c r="A116" s="39" t="s">
        <v>249</v>
      </c>
      <c r="B116" s="45">
        <v>45217</v>
      </c>
      <c r="C116" s="45" t="str">
        <f t="shared" si="4"/>
        <v>Oct</v>
      </c>
      <c r="D116" s="39" t="s">
        <v>81</v>
      </c>
      <c r="E116" s="39">
        <v>16</v>
      </c>
      <c r="F116" s="46" t="s">
        <v>24</v>
      </c>
      <c r="G116" s="39">
        <v>3016.9</v>
      </c>
      <c r="H116" s="39">
        <v>4140.7299999999996</v>
      </c>
      <c r="I116" s="39" t="s">
        <v>46</v>
      </c>
      <c r="J116" s="47">
        <v>0.26</v>
      </c>
      <c r="K116" s="39" t="s">
        <v>40</v>
      </c>
      <c r="L116" s="39" t="s">
        <v>34</v>
      </c>
      <c r="M116" s="39" t="s">
        <v>35</v>
      </c>
      <c r="N116" s="39">
        <f t="shared" si="5"/>
        <v>49026.243199999997</v>
      </c>
      <c r="O116" s="39">
        <f t="shared" si="6"/>
        <v>48270.400000000001</v>
      </c>
      <c r="P116" s="39">
        <f t="shared" si="7"/>
        <v>755.8431999999957</v>
      </c>
    </row>
    <row r="117" spans="1:16" x14ac:dyDescent="0.35">
      <c r="A117" s="39" t="s">
        <v>251</v>
      </c>
      <c r="B117" s="45">
        <v>45139</v>
      </c>
      <c r="C117" s="45" t="str">
        <f t="shared" si="4"/>
        <v>Aug</v>
      </c>
      <c r="D117" s="39" t="s">
        <v>32</v>
      </c>
      <c r="E117" s="39">
        <v>4</v>
      </c>
      <c r="F117" s="46" t="s">
        <v>51</v>
      </c>
      <c r="G117" s="39">
        <v>1046.26</v>
      </c>
      <c r="H117" s="39">
        <v>1475.29</v>
      </c>
      <c r="I117" s="39" t="s">
        <v>25</v>
      </c>
      <c r="J117" s="47">
        <v>0.09</v>
      </c>
      <c r="K117" s="39" t="s">
        <v>40</v>
      </c>
      <c r="L117" s="39" t="s">
        <v>34</v>
      </c>
      <c r="M117" s="39" t="s">
        <v>28</v>
      </c>
      <c r="N117" s="39">
        <f t="shared" si="5"/>
        <v>5370.0555999999997</v>
      </c>
      <c r="O117" s="39">
        <f t="shared" si="6"/>
        <v>4185.04</v>
      </c>
      <c r="P117" s="39">
        <f t="shared" si="7"/>
        <v>1185.0155999999997</v>
      </c>
    </row>
    <row r="118" spans="1:16" x14ac:dyDescent="0.35">
      <c r="A118" s="39" t="s">
        <v>253</v>
      </c>
      <c r="B118" s="45">
        <v>45091</v>
      </c>
      <c r="C118" s="45" t="str">
        <f t="shared" si="4"/>
        <v>Jun</v>
      </c>
      <c r="D118" s="39" t="s">
        <v>54</v>
      </c>
      <c r="E118" s="39">
        <v>38</v>
      </c>
      <c r="F118" s="46" t="s">
        <v>24</v>
      </c>
      <c r="G118" s="39">
        <v>4456.67</v>
      </c>
      <c r="H118" s="39">
        <v>4642.46</v>
      </c>
      <c r="I118" s="39" t="s">
        <v>46</v>
      </c>
      <c r="J118" s="47">
        <v>0.06</v>
      </c>
      <c r="K118" s="39" t="s">
        <v>40</v>
      </c>
      <c r="L118" s="39" t="s">
        <v>27</v>
      </c>
      <c r="M118" s="39" t="s">
        <v>35</v>
      </c>
      <c r="N118" s="39">
        <f t="shared" si="5"/>
        <v>165828.67120000001</v>
      </c>
      <c r="O118" s="39">
        <f t="shared" si="6"/>
        <v>169353.46</v>
      </c>
      <c r="P118" s="39">
        <f t="shared" si="7"/>
        <v>-3524.7887999999803</v>
      </c>
    </row>
    <row r="119" spans="1:16" x14ac:dyDescent="0.35">
      <c r="A119" s="39" t="s">
        <v>255</v>
      </c>
      <c r="B119" s="45">
        <v>44931</v>
      </c>
      <c r="C119" s="45" t="str">
        <f t="shared" si="4"/>
        <v>Jan</v>
      </c>
      <c r="D119" s="39" t="s">
        <v>38</v>
      </c>
      <c r="E119" s="39">
        <v>44</v>
      </c>
      <c r="F119" s="46" t="s">
        <v>39</v>
      </c>
      <c r="G119" s="39">
        <v>618.79</v>
      </c>
      <c r="H119" s="39">
        <v>938.04</v>
      </c>
      <c r="I119" s="39" t="s">
        <v>25</v>
      </c>
      <c r="J119" s="47">
        <v>0.03</v>
      </c>
      <c r="K119" s="39" t="s">
        <v>26</v>
      </c>
      <c r="L119" s="39" t="s">
        <v>27</v>
      </c>
      <c r="M119" s="39" t="s">
        <v>28</v>
      </c>
      <c r="N119" s="39">
        <f t="shared" si="5"/>
        <v>40035.547199999994</v>
      </c>
      <c r="O119" s="39">
        <f t="shared" si="6"/>
        <v>27226.76</v>
      </c>
      <c r="P119" s="39">
        <f t="shared" si="7"/>
        <v>12808.787199999995</v>
      </c>
    </row>
    <row r="120" spans="1:16" x14ac:dyDescent="0.35">
      <c r="A120" s="39" t="s">
        <v>256</v>
      </c>
      <c r="B120" s="45">
        <v>45265</v>
      </c>
      <c r="C120" s="45" t="str">
        <f t="shared" si="4"/>
        <v>Dec</v>
      </c>
      <c r="D120" s="39" t="s">
        <v>81</v>
      </c>
      <c r="E120" s="39">
        <v>27</v>
      </c>
      <c r="F120" s="46" t="s">
        <v>51</v>
      </c>
      <c r="G120" s="39">
        <v>68.989999999999995</v>
      </c>
      <c r="H120" s="39">
        <v>429.29</v>
      </c>
      <c r="I120" s="39" t="s">
        <v>25</v>
      </c>
      <c r="J120" s="47">
        <v>0.18</v>
      </c>
      <c r="K120" s="39" t="s">
        <v>47</v>
      </c>
      <c r="L120" s="39" t="s">
        <v>34</v>
      </c>
      <c r="M120" s="39" t="s">
        <v>41</v>
      </c>
      <c r="N120" s="39">
        <f t="shared" si="5"/>
        <v>9504.4806000000008</v>
      </c>
      <c r="O120" s="39">
        <f t="shared" si="6"/>
        <v>1862.7299999999998</v>
      </c>
      <c r="P120" s="39">
        <f t="shared" si="7"/>
        <v>7641.7506000000012</v>
      </c>
    </row>
    <row r="121" spans="1:16" x14ac:dyDescent="0.35">
      <c r="A121" s="39" t="s">
        <v>257</v>
      </c>
      <c r="B121" s="45">
        <v>45004</v>
      </c>
      <c r="C121" s="45" t="str">
        <f t="shared" si="4"/>
        <v>Mar</v>
      </c>
      <c r="D121" s="39" t="s">
        <v>54</v>
      </c>
      <c r="E121" s="39">
        <v>9</v>
      </c>
      <c r="F121" s="46" t="s">
        <v>45</v>
      </c>
      <c r="G121" s="39">
        <v>2534.94</v>
      </c>
      <c r="H121" s="39">
        <v>2755.56</v>
      </c>
      <c r="I121" s="39" t="s">
        <v>25</v>
      </c>
      <c r="J121" s="47">
        <v>0.13</v>
      </c>
      <c r="K121" s="39" t="s">
        <v>47</v>
      </c>
      <c r="L121" s="39" t="s">
        <v>27</v>
      </c>
      <c r="M121" s="39" t="s">
        <v>35</v>
      </c>
      <c r="N121" s="39">
        <f t="shared" si="5"/>
        <v>21576.034800000001</v>
      </c>
      <c r="O121" s="39">
        <f t="shared" si="6"/>
        <v>22814.46</v>
      </c>
      <c r="P121" s="39">
        <f t="shared" si="7"/>
        <v>-1238.4251999999979</v>
      </c>
    </row>
    <row r="122" spans="1:16" x14ac:dyDescent="0.35">
      <c r="A122" s="39" t="s">
        <v>258</v>
      </c>
      <c r="B122" s="45">
        <v>44988</v>
      </c>
      <c r="C122" s="45" t="str">
        <f t="shared" si="4"/>
        <v>Mar</v>
      </c>
      <c r="D122" s="39" t="s">
        <v>54</v>
      </c>
      <c r="E122" s="39">
        <v>47</v>
      </c>
      <c r="F122" s="46" t="s">
        <v>51</v>
      </c>
      <c r="G122" s="39">
        <v>2936.48</v>
      </c>
      <c r="H122" s="39">
        <v>3096.64</v>
      </c>
      <c r="I122" s="39" t="s">
        <v>46</v>
      </c>
      <c r="J122" s="47">
        <v>0.06</v>
      </c>
      <c r="K122" s="39" t="s">
        <v>40</v>
      </c>
      <c r="L122" s="39" t="s">
        <v>27</v>
      </c>
      <c r="M122" s="39" t="s">
        <v>35</v>
      </c>
      <c r="N122" s="39">
        <f t="shared" si="5"/>
        <v>136809.55519999997</v>
      </c>
      <c r="O122" s="39">
        <f t="shared" si="6"/>
        <v>138014.56</v>
      </c>
      <c r="P122" s="39">
        <f t="shared" si="7"/>
        <v>-1205.0048000000243</v>
      </c>
    </row>
    <row r="123" spans="1:16" x14ac:dyDescent="0.35">
      <c r="A123" s="39" t="s">
        <v>259</v>
      </c>
      <c r="B123" s="45">
        <v>45058</v>
      </c>
      <c r="C123" s="45" t="str">
        <f t="shared" si="4"/>
        <v>May</v>
      </c>
      <c r="D123" s="39" t="s">
        <v>22</v>
      </c>
      <c r="E123" s="39">
        <v>16</v>
      </c>
      <c r="F123" s="46" t="s">
        <v>24</v>
      </c>
      <c r="G123" s="39">
        <v>2915.88</v>
      </c>
      <c r="H123" s="39">
        <v>3397.36</v>
      </c>
      <c r="I123" s="39" t="s">
        <v>46</v>
      </c>
      <c r="J123" s="47">
        <v>0.2</v>
      </c>
      <c r="K123" s="39" t="s">
        <v>40</v>
      </c>
      <c r="L123" s="39" t="s">
        <v>34</v>
      </c>
      <c r="M123" s="39" t="s">
        <v>28</v>
      </c>
      <c r="N123" s="39">
        <f t="shared" si="5"/>
        <v>43486.208000000006</v>
      </c>
      <c r="O123" s="39">
        <f t="shared" si="6"/>
        <v>46654.080000000002</v>
      </c>
      <c r="P123" s="39">
        <f t="shared" si="7"/>
        <v>-3167.8719999999958</v>
      </c>
    </row>
    <row r="124" spans="1:16" x14ac:dyDescent="0.35">
      <c r="A124" s="39" t="s">
        <v>261</v>
      </c>
      <c r="B124" s="45">
        <v>45015</v>
      </c>
      <c r="C124" s="45" t="str">
        <f t="shared" si="4"/>
        <v>Mar</v>
      </c>
      <c r="D124" s="39" t="s">
        <v>32</v>
      </c>
      <c r="E124" s="39">
        <v>12</v>
      </c>
      <c r="F124" s="46" t="s">
        <v>51</v>
      </c>
      <c r="G124" s="39">
        <v>319.83</v>
      </c>
      <c r="H124" s="39">
        <v>802.43</v>
      </c>
      <c r="I124" s="39" t="s">
        <v>46</v>
      </c>
      <c r="J124" s="47">
        <v>0.04</v>
      </c>
      <c r="K124" s="39" t="s">
        <v>47</v>
      </c>
      <c r="L124" s="39" t="s">
        <v>34</v>
      </c>
      <c r="M124" s="39" t="s">
        <v>35</v>
      </c>
      <c r="N124" s="39">
        <f t="shared" si="5"/>
        <v>9243.9935999999998</v>
      </c>
      <c r="O124" s="39">
        <f t="shared" si="6"/>
        <v>3837.96</v>
      </c>
      <c r="P124" s="39">
        <f t="shared" si="7"/>
        <v>5406.0335999999998</v>
      </c>
    </row>
    <row r="125" spans="1:16" x14ac:dyDescent="0.35">
      <c r="A125" s="39" t="s">
        <v>263</v>
      </c>
      <c r="B125" s="45">
        <v>45163</v>
      </c>
      <c r="C125" s="45" t="str">
        <f t="shared" si="4"/>
        <v>Aug</v>
      </c>
      <c r="D125" s="39" t="s">
        <v>38</v>
      </c>
      <c r="E125" s="39">
        <v>31</v>
      </c>
      <c r="F125" s="46" t="s">
        <v>39</v>
      </c>
      <c r="G125" s="39">
        <v>1604.52</v>
      </c>
      <c r="H125" s="39">
        <v>1756.34</v>
      </c>
      <c r="I125" s="39" t="s">
        <v>25</v>
      </c>
      <c r="J125" s="47">
        <v>0.17</v>
      </c>
      <c r="K125" s="39" t="s">
        <v>26</v>
      </c>
      <c r="L125" s="39" t="s">
        <v>27</v>
      </c>
      <c r="M125" s="39" t="s">
        <v>35</v>
      </c>
      <c r="N125" s="39">
        <f t="shared" si="5"/>
        <v>45190.628199999999</v>
      </c>
      <c r="O125" s="39">
        <f t="shared" si="6"/>
        <v>49740.12</v>
      </c>
      <c r="P125" s="39">
        <f t="shared" si="7"/>
        <v>-4549.4918000000034</v>
      </c>
    </row>
    <row r="126" spans="1:16" x14ac:dyDescent="0.35">
      <c r="A126" s="39" t="s">
        <v>265</v>
      </c>
      <c r="B126" s="45">
        <v>44968</v>
      </c>
      <c r="C126" s="45" t="str">
        <f t="shared" si="4"/>
        <v>Feb</v>
      </c>
      <c r="D126" s="39" t="s">
        <v>81</v>
      </c>
      <c r="E126" s="39">
        <v>24</v>
      </c>
      <c r="F126" s="46" t="s">
        <v>45</v>
      </c>
      <c r="G126" s="39">
        <v>2521.0300000000002</v>
      </c>
      <c r="H126" s="39">
        <v>2766.05</v>
      </c>
      <c r="I126" s="39" t="s">
        <v>25</v>
      </c>
      <c r="J126" s="47">
        <v>0.16</v>
      </c>
      <c r="K126" s="39" t="s">
        <v>40</v>
      </c>
      <c r="L126" s="39" t="s">
        <v>27</v>
      </c>
      <c r="M126" s="39" t="s">
        <v>41</v>
      </c>
      <c r="N126" s="39">
        <f t="shared" si="5"/>
        <v>55763.568000000007</v>
      </c>
      <c r="O126" s="39">
        <f t="shared" si="6"/>
        <v>60504.72</v>
      </c>
      <c r="P126" s="39">
        <f t="shared" si="7"/>
        <v>-4741.1519999999946</v>
      </c>
    </row>
    <row r="127" spans="1:16" x14ac:dyDescent="0.35">
      <c r="A127" s="39" t="s">
        <v>267</v>
      </c>
      <c r="B127" s="45">
        <v>45015</v>
      </c>
      <c r="C127" s="45" t="str">
        <f t="shared" si="4"/>
        <v>Mar</v>
      </c>
      <c r="D127" s="39" t="s">
        <v>22</v>
      </c>
      <c r="E127" s="39">
        <v>14</v>
      </c>
      <c r="F127" s="46" t="s">
        <v>24</v>
      </c>
      <c r="G127" s="39">
        <v>1122.07</v>
      </c>
      <c r="H127" s="39">
        <v>1608.76</v>
      </c>
      <c r="I127" s="39" t="s">
        <v>46</v>
      </c>
      <c r="J127" s="47">
        <v>0.22</v>
      </c>
      <c r="K127" s="39" t="s">
        <v>26</v>
      </c>
      <c r="L127" s="39" t="s">
        <v>27</v>
      </c>
      <c r="M127" s="39" t="s">
        <v>41</v>
      </c>
      <c r="N127" s="39">
        <f t="shared" si="5"/>
        <v>17567.659200000002</v>
      </c>
      <c r="O127" s="39">
        <f t="shared" si="6"/>
        <v>15708.98</v>
      </c>
      <c r="P127" s="39">
        <f t="shared" si="7"/>
        <v>1858.6792000000023</v>
      </c>
    </row>
    <row r="128" spans="1:16" x14ac:dyDescent="0.35">
      <c r="A128" s="39" t="s">
        <v>268</v>
      </c>
      <c r="B128" s="45">
        <v>45222</v>
      </c>
      <c r="C128" s="45" t="str">
        <f t="shared" si="4"/>
        <v>Oct</v>
      </c>
      <c r="D128" s="39" t="s">
        <v>32</v>
      </c>
      <c r="E128" s="39">
        <v>45</v>
      </c>
      <c r="F128" s="46" t="s">
        <v>45</v>
      </c>
      <c r="G128" s="39">
        <v>4369.5</v>
      </c>
      <c r="H128" s="39">
        <v>4381.8900000000003</v>
      </c>
      <c r="I128" s="39" t="s">
        <v>25</v>
      </c>
      <c r="J128" s="47">
        <v>0.02</v>
      </c>
      <c r="K128" s="39" t="s">
        <v>47</v>
      </c>
      <c r="L128" s="39" t="s">
        <v>34</v>
      </c>
      <c r="M128" s="39" t="s">
        <v>28</v>
      </c>
      <c r="N128" s="39">
        <f t="shared" si="5"/>
        <v>193241.34900000002</v>
      </c>
      <c r="O128" s="39">
        <f t="shared" si="6"/>
        <v>196627.5</v>
      </c>
      <c r="P128" s="39">
        <f t="shared" si="7"/>
        <v>-3386.1509999999835</v>
      </c>
    </row>
    <row r="129" spans="1:16" x14ac:dyDescent="0.35">
      <c r="A129" s="39" t="s">
        <v>269</v>
      </c>
      <c r="B129" s="45">
        <v>45254</v>
      </c>
      <c r="C129" s="45" t="str">
        <f t="shared" si="4"/>
        <v>Nov</v>
      </c>
      <c r="D129" s="39" t="s">
        <v>22</v>
      </c>
      <c r="E129" s="39">
        <v>25</v>
      </c>
      <c r="F129" s="46" t="s">
        <v>45</v>
      </c>
      <c r="G129" s="39">
        <v>481.19</v>
      </c>
      <c r="H129" s="39">
        <v>693.4</v>
      </c>
      <c r="I129" s="39" t="s">
        <v>46</v>
      </c>
      <c r="J129" s="47">
        <v>0.27</v>
      </c>
      <c r="K129" s="39" t="s">
        <v>47</v>
      </c>
      <c r="L129" s="39" t="s">
        <v>34</v>
      </c>
      <c r="M129" s="39" t="s">
        <v>41</v>
      </c>
      <c r="N129" s="39">
        <f t="shared" si="5"/>
        <v>12654.55</v>
      </c>
      <c r="O129" s="39">
        <f t="shared" si="6"/>
        <v>12029.75</v>
      </c>
      <c r="P129" s="39">
        <f t="shared" si="7"/>
        <v>624.79999999999927</v>
      </c>
    </row>
    <row r="130" spans="1:16" x14ac:dyDescent="0.35">
      <c r="A130" s="39" t="s">
        <v>271</v>
      </c>
      <c r="B130" s="45">
        <v>45221</v>
      </c>
      <c r="C130" s="45" t="str">
        <f t="shared" si="4"/>
        <v>Oct</v>
      </c>
      <c r="D130" s="39" t="s">
        <v>32</v>
      </c>
      <c r="E130" s="39">
        <v>34</v>
      </c>
      <c r="F130" s="46" t="s">
        <v>24</v>
      </c>
      <c r="G130" s="39">
        <v>2462.5500000000002</v>
      </c>
      <c r="H130" s="39">
        <v>2521.77</v>
      </c>
      <c r="I130" s="39" t="s">
        <v>46</v>
      </c>
      <c r="J130" s="47">
        <v>0.21</v>
      </c>
      <c r="K130" s="39" t="s">
        <v>40</v>
      </c>
      <c r="L130" s="39" t="s">
        <v>27</v>
      </c>
      <c r="M130" s="39" t="s">
        <v>28</v>
      </c>
      <c r="N130" s="39">
        <f t="shared" si="5"/>
        <v>67734.742199999993</v>
      </c>
      <c r="O130" s="39">
        <f t="shared" si="6"/>
        <v>83726.700000000012</v>
      </c>
      <c r="P130" s="39">
        <f t="shared" si="7"/>
        <v>-15991.957800000018</v>
      </c>
    </row>
    <row r="131" spans="1:16" x14ac:dyDescent="0.35">
      <c r="A131" s="39" t="s">
        <v>273</v>
      </c>
      <c r="B131" s="45">
        <v>45030</v>
      </c>
      <c r="C131" s="45" t="str">
        <f t="shared" ref="C131:C194" si="8">TEXT(B131,"mmm")</f>
        <v>Apr</v>
      </c>
      <c r="D131" s="39" t="s">
        <v>32</v>
      </c>
      <c r="E131" s="39">
        <v>3</v>
      </c>
      <c r="F131" s="46" t="s">
        <v>45</v>
      </c>
      <c r="G131" s="39">
        <v>3472.51</v>
      </c>
      <c r="H131" s="39">
        <v>3732</v>
      </c>
      <c r="I131" s="39" t="s">
        <v>46</v>
      </c>
      <c r="J131" s="47">
        <v>0.06</v>
      </c>
      <c r="K131" s="39" t="s">
        <v>26</v>
      </c>
      <c r="L131" s="39" t="s">
        <v>34</v>
      </c>
      <c r="M131" s="39" t="s">
        <v>28</v>
      </c>
      <c r="N131" s="39">
        <f t="shared" ref="N131:N194" si="9">E131*H131*(1-J131)</f>
        <v>10524.24</v>
      </c>
      <c r="O131" s="39">
        <f t="shared" ref="O131:O194" si="10">G131*E131</f>
        <v>10417.530000000001</v>
      </c>
      <c r="P131" s="39">
        <f t="shared" ref="P131:P194" si="11">N131-O131</f>
        <v>106.70999999999913</v>
      </c>
    </row>
    <row r="132" spans="1:16" x14ac:dyDescent="0.35">
      <c r="A132" s="39" t="s">
        <v>275</v>
      </c>
      <c r="B132" s="45">
        <v>44940</v>
      </c>
      <c r="C132" s="45" t="str">
        <f t="shared" si="8"/>
        <v>Jan</v>
      </c>
      <c r="D132" s="39" t="s">
        <v>38</v>
      </c>
      <c r="E132" s="39">
        <v>24</v>
      </c>
      <c r="F132" s="46" t="s">
        <v>45</v>
      </c>
      <c r="G132" s="39">
        <v>1345.67</v>
      </c>
      <c r="H132" s="39">
        <v>1367.76</v>
      </c>
      <c r="I132" s="39" t="s">
        <v>46</v>
      </c>
      <c r="J132" s="47">
        <v>0.06</v>
      </c>
      <c r="K132" s="39" t="s">
        <v>40</v>
      </c>
      <c r="L132" s="39" t="s">
        <v>34</v>
      </c>
      <c r="M132" s="39" t="s">
        <v>28</v>
      </c>
      <c r="N132" s="39">
        <f t="shared" si="9"/>
        <v>30856.665599999997</v>
      </c>
      <c r="O132" s="39">
        <f t="shared" si="10"/>
        <v>32296.080000000002</v>
      </c>
      <c r="P132" s="39">
        <f t="shared" si="11"/>
        <v>-1439.4144000000051</v>
      </c>
    </row>
    <row r="133" spans="1:16" x14ac:dyDescent="0.35">
      <c r="A133" s="39" t="s">
        <v>276</v>
      </c>
      <c r="B133" s="45">
        <v>45214</v>
      </c>
      <c r="C133" s="45" t="str">
        <f t="shared" si="8"/>
        <v>Oct</v>
      </c>
      <c r="D133" s="39" t="s">
        <v>32</v>
      </c>
      <c r="E133" s="39">
        <v>42</v>
      </c>
      <c r="F133" s="46" t="s">
        <v>51</v>
      </c>
      <c r="G133" s="39">
        <v>3139.99</v>
      </c>
      <c r="H133" s="39">
        <v>3349.37</v>
      </c>
      <c r="I133" s="39" t="s">
        <v>25</v>
      </c>
      <c r="J133" s="47">
        <v>0.13</v>
      </c>
      <c r="K133" s="39" t="s">
        <v>47</v>
      </c>
      <c r="L133" s="39" t="s">
        <v>27</v>
      </c>
      <c r="M133" s="39" t="s">
        <v>35</v>
      </c>
      <c r="N133" s="39">
        <f t="shared" si="9"/>
        <v>122385.9798</v>
      </c>
      <c r="O133" s="39">
        <f t="shared" si="10"/>
        <v>131879.57999999999</v>
      </c>
      <c r="P133" s="39">
        <f t="shared" si="11"/>
        <v>-9493.6001999999862</v>
      </c>
    </row>
    <row r="134" spans="1:16" x14ac:dyDescent="0.35">
      <c r="A134" s="39" t="s">
        <v>278</v>
      </c>
      <c r="B134" s="45">
        <v>45105</v>
      </c>
      <c r="C134" s="45" t="str">
        <f t="shared" si="8"/>
        <v>Jun</v>
      </c>
      <c r="D134" s="39" t="s">
        <v>22</v>
      </c>
      <c r="E134" s="39">
        <v>9</v>
      </c>
      <c r="F134" s="46" t="s">
        <v>45</v>
      </c>
      <c r="G134" s="39">
        <v>4155.46</v>
      </c>
      <c r="H134" s="39">
        <v>4273.6000000000004</v>
      </c>
      <c r="I134" s="39" t="s">
        <v>25</v>
      </c>
      <c r="J134" s="47">
        <v>0.25</v>
      </c>
      <c r="K134" s="39" t="s">
        <v>26</v>
      </c>
      <c r="L134" s="39" t="s">
        <v>27</v>
      </c>
      <c r="M134" s="39" t="s">
        <v>41</v>
      </c>
      <c r="N134" s="39">
        <f t="shared" si="9"/>
        <v>28846.800000000003</v>
      </c>
      <c r="O134" s="39">
        <f t="shared" si="10"/>
        <v>37399.14</v>
      </c>
      <c r="P134" s="39">
        <f t="shared" si="11"/>
        <v>-8552.3399999999965</v>
      </c>
    </row>
    <row r="135" spans="1:16" x14ac:dyDescent="0.35">
      <c r="A135" s="39" t="s">
        <v>279</v>
      </c>
      <c r="B135" s="45">
        <v>45051</v>
      </c>
      <c r="C135" s="45" t="str">
        <f t="shared" si="8"/>
        <v>May</v>
      </c>
      <c r="D135" s="39" t="s">
        <v>32</v>
      </c>
      <c r="E135" s="39">
        <v>26</v>
      </c>
      <c r="F135" s="46" t="s">
        <v>45</v>
      </c>
      <c r="G135" s="39">
        <v>992.17</v>
      </c>
      <c r="H135" s="39">
        <v>1263.49</v>
      </c>
      <c r="I135" s="39" t="s">
        <v>25</v>
      </c>
      <c r="J135" s="47">
        <v>0.25</v>
      </c>
      <c r="K135" s="39" t="s">
        <v>40</v>
      </c>
      <c r="L135" s="39" t="s">
        <v>34</v>
      </c>
      <c r="M135" s="39" t="s">
        <v>28</v>
      </c>
      <c r="N135" s="39">
        <f t="shared" si="9"/>
        <v>24638.055</v>
      </c>
      <c r="O135" s="39">
        <f t="shared" si="10"/>
        <v>25796.42</v>
      </c>
      <c r="P135" s="39">
        <f t="shared" si="11"/>
        <v>-1158.364999999998</v>
      </c>
    </row>
    <row r="136" spans="1:16" x14ac:dyDescent="0.35">
      <c r="A136" s="39" t="s">
        <v>280</v>
      </c>
      <c r="B136" s="45">
        <v>45279</v>
      </c>
      <c r="C136" s="45" t="str">
        <f t="shared" si="8"/>
        <v>Dec</v>
      </c>
      <c r="D136" s="39" t="s">
        <v>38</v>
      </c>
      <c r="E136" s="39">
        <v>20</v>
      </c>
      <c r="F136" s="46" t="s">
        <v>45</v>
      </c>
      <c r="G136" s="39">
        <v>4590.24</v>
      </c>
      <c r="H136" s="39">
        <v>5088.28</v>
      </c>
      <c r="I136" s="39" t="s">
        <v>46</v>
      </c>
      <c r="J136" s="47">
        <v>0.16</v>
      </c>
      <c r="K136" s="39" t="s">
        <v>40</v>
      </c>
      <c r="L136" s="39" t="s">
        <v>34</v>
      </c>
      <c r="M136" s="39" t="s">
        <v>41</v>
      </c>
      <c r="N136" s="39">
        <f t="shared" si="9"/>
        <v>85483.103999999992</v>
      </c>
      <c r="O136" s="39">
        <f t="shared" si="10"/>
        <v>91804.799999999988</v>
      </c>
      <c r="P136" s="39">
        <f t="shared" si="11"/>
        <v>-6321.6959999999963</v>
      </c>
    </row>
    <row r="137" spans="1:16" x14ac:dyDescent="0.35">
      <c r="A137" s="39" t="s">
        <v>281</v>
      </c>
      <c r="B137" s="45">
        <v>44949</v>
      </c>
      <c r="C137" s="45" t="str">
        <f t="shared" si="8"/>
        <v>Jan</v>
      </c>
      <c r="D137" s="39" t="s">
        <v>38</v>
      </c>
      <c r="E137" s="39">
        <v>40</v>
      </c>
      <c r="F137" s="46" t="s">
        <v>45</v>
      </c>
      <c r="G137" s="39">
        <v>2790.11</v>
      </c>
      <c r="H137" s="39">
        <v>4192.37</v>
      </c>
      <c r="I137" s="39" t="s">
        <v>25</v>
      </c>
      <c r="J137" s="47">
        <v>0.26</v>
      </c>
      <c r="K137" s="39" t="s">
        <v>40</v>
      </c>
      <c r="L137" s="39" t="s">
        <v>27</v>
      </c>
      <c r="M137" s="39" t="s">
        <v>28</v>
      </c>
      <c r="N137" s="39">
        <f t="shared" si="9"/>
        <v>124094.15199999999</v>
      </c>
      <c r="O137" s="39">
        <f t="shared" si="10"/>
        <v>111604.40000000001</v>
      </c>
      <c r="P137" s="39">
        <f t="shared" si="11"/>
        <v>12489.751999999979</v>
      </c>
    </row>
    <row r="138" spans="1:16" x14ac:dyDescent="0.35">
      <c r="A138" s="39" t="s">
        <v>283</v>
      </c>
      <c r="B138" s="45">
        <v>44989</v>
      </c>
      <c r="C138" s="45" t="str">
        <f t="shared" si="8"/>
        <v>Mar</v>
      </c>
      <c r="D138" s="39" t="s">
        <v>22</v>
      </c>
      <c r="E138" s="39">
        <v>10</v>
      </c>
      <c r="F138" s="46" t="s">
        <v>24</v>
      </c>
      <c r="G138" s="39">
        <v>1531.2</v>
      </c>
      <c r="H138" s="39">
        <v>1955.56</v>
      </c>
      <c r="I138" s="39" t="s">
        <v>46</v>
      </c>
      <c r="J138" s="47">
        <v>0</v>
      </c>
      <c r="K138" s="39" t="s">
        <v>47</v>
      </c>
      <c r="L138" s="39" t="s">
        <v>34</v>
      </c>
      <c r="M138" s="39" t="s">
        <v>41</v>
      </c>
      <c r="N138" s="39">
        <f t="shared" si="9"/>
        <v>19555.599999999999</v>
      </c>
      <c r="O138" s="39">
        <f t="shared" si="10"/>
        <v>15312</v>
      </c>
      <c r="P138" s="39">
        <f t="shared" si="11"/>
        <v>4243.5999999999985</v>
      </c>
    </row>
    <row r="139" spans="1:16" x14ac:dyDescent="0.35">
      <c r="A139" s="39" t="s">
        <v>284</v>
      </c>
      <c r="B139" s="45">
        <v>45069</v>
      </c>
      <c r="C139" s="45" t="str">
        <f t="shared" si="8"/>
        <v>May</v>
      </c>
      <c r="D139" s="39" t="s">
        <v>54</v>
      </c>
      <c r="E139" s="39">
        <v>19</v>
      </c>
      <c r="F139" s="46" t="s">
        <v>39</v>
      </c>
      <c r="G139" s="39">
        <v>2182.75</v>
      </c>
      <c r="H139" s="39">
        <v>2504.0300000000002</v>
      </c>
      <c r="I139" s="39" t="s">
        <v>46</v>
      </c>
      <c r="J139" s="47">
        <v>0.01</v>
      </c>
      <c r="K139" s="39" t="s">
        <v>40</v>
      </c>
      <c r="L139" s="39" t="s">
        <v>34</v>
      </c>
      <c r="M139" s="39" t="s">
        <v>41</v>
      </c>
      <c r="N139" s="39">
        <f t="shared" si="9"/>
        <v>47100.804300000003</v>
      </c>
      <c r="O139" s="39">
        <f t="shared" si="10"/>
        <v>41472.25</v>
      </c>
      <c r="P139" s="39">
        <f t="shared" si="11"/>
        <v>5628.5543000000034</v>
      </c>
    </row>
    <row r="140" spans="1:16" x14ac:dyDescent="0.35">
      <c r="A140" s="39" t="s">
        <v>285</v>
      </c>
      <c r="B140" s="45">
        <v>45079</v>
      </c>
      <c r="C140" s="45" t="str">
        <f t="shared" si="8"/>
        <v>Jun</v>
      </c>
      <c r="D140" s="39" t="s">
        <v>54</v>
      </c>
      <c r="E140" s="39">
        <v>3</v>
      </c>
      <c r="F140" s="46" t="s">
        <v>51</v>
      </c>
      <c r="G140" s="39">
        <v>1595.35</v>
      </c>
      <c r="H140" s="39">
        <v>1625.71</v>
      </c>
      <c r="I140" s="39" t="s">
        <v>46</v>
      </c>
      <c r="J140" s="47">
        <v>0.27</v>
      </c>
      <c r="K140" s="39" t="s">
        <v>26</v>
      </c>
      <c r="L140" s="39" t="s">
        <v>27</v>
      </c>
      <c r="M140" s="39" t="s">
        <v>28</v>
      </c>
      <c r="N140" s="39">
        <f t="shared" si="9"/>
        <v>3560.3049000000001</v>
      </c>
      <c r="O140" s="39">
        <f t="shared" si="10"/>
        <v>4786.0499999999993</v>
      </c>
      <c r="P140" s="39">
        <f t="shared" si="11"/>
        <v>-1225.7450999999992</v>
      </c>
    </row>
    <row r="141" spans="1:16" x14ac:dyDescent="0.35">
      <c r="A141" s="39" t="s">
        <v>286</v>
      </c>
      <c r="B141" s="45">
        <v>45071</v>
      </c>
      <c r="C141" s="45" t="str">
        <f t="shared" si="8"/>
        <v>May</v>
      </c>
      <c r="D141" s="39" t="s">
        <v>32</v>
      </c>
      <c r="E141" s="39">
        <v>24</v>
      </c>
      <c r="F141" s="46" t="s">
        <v>45</v>
      </c>
      <c r="G141" s="39">
        <v>3639.3</v>
      </c>
      <c r="H141" s="39">
        <v>3750.63</v>
      </c>
      <c r="I141" s="39" t="s">
        <v>46</v>
      </c>
      <c r="J141" s="47">
        <v>0.23</v>
      </c>
      <c r="K141" s="39" t="s">
        <v>40</v>
      </c>
      <c r="L141" s="39" t="s">
        <v>27</v>
      </c>
      <c r="M141" s="39" t="s">
        <v>35</v>
      </c>
      <c r="N141" s="39">
        <f t="shared" si="9"/>
        <v>69311.642399999997</v>
      </c>
      <c r="O141" s="39">
        <f t="shared" si="10"/>
        <v>87343.200000000012</v>
      </c>
      <c r="P141" s="39">
        <f t="shared" si="11"/>
        <v>-18031.557600000015</v>
      </c>
    </row>
    <row r="142" spans="1:16" x14ac:dyDescent="0.35">
      <c r="A142" s="39" t="s">
        <v>288</v>
      </c>
      <c r="B142" s="45">
        <v>45151</v>
      </c>
      <c r="C142" s="45" t="str">
        <f t="shared" si="8"/>
        <v>Aug</v>
      </c>
      <c r="D142" s="39" t="s">
        <v>81</v>
      </c>
      <c r="E142" s="39">
        <v>5</v>
      </c>
      <c r="F142" s="46" t="s">
        <v>45</v>
      </c>
      <c r="G142" s="39">
        <v>3991.69</v>
      </c>
      <c r="H142" s="39">
        <v>4454.97</v>
      </c>
      <c r="I142" s="39" t="s">
        <v>46</v>
      </c>
      <c r="J142" s="47">
        <v>0.14000000000000001</v>
      </c>
      <c r="K142" s="39" t="s">
        <v>47</v>
      </c>
      <c r="L142" s="39" t="s">
        <v>34</v>
      </c>
      <c r="M142" s="39" t="s">
        <v>41</v>
      </c>
      <c r="N142" s="39">
        <f t="shared" si="9"/>
        <v>19156.371000000003</v>
      </c>
      <c r="O142" s="39">
        <f t="shared" si="10"/>
        <v>19958.45</v>
      </c>
      <c r="P142" s="39">
        <f t="shared" si="11"/>
        <v>-802.0789999999979</v>
      </c>
    </row>
    <row r="143" spans="1:16" x14ac:dyDescent="0.35">
      <c r="A143" s="39" t="s">
        <v>290</v>
      </c>
      <c r="B143" s="45">
        <v>45235</v>
      </c>
      <c r="C143" s="45" t="str">
        <f t="shared" si="8"/>
        <v>Nov</v>
      </c>
      <c r="D143" s="39" t="s">
        <v>32</v>
      </c>
      <c r="E143" s="39">
        <v>3</v>
      </c>
      <c r="F143" s="46" t="s">
        <v>24</v>
      </c>
      <c r="G143" s="39">
        <v>4173.04</v>
      </c>
      <c r="H143" s="39">
        <v>4362.4399999999996</v>
      </c>
      <c r="I143" s="39" t="s">
        <v>46</v>
      </c>
      <c r="J143" s="47">
        <v>0.23</v>
      </c>
      <c r="K143" s="39" t="s">
        <v>40</v>
      </c>
      <c r="L143" s="39" t="s">
        <v>34</v>
      </c>
      <c r="M143" s="39" t="s">
        <v>35</v>
      </c>
      <c r="N143" s="39">
        <f t="shared" si="9"/>
        <v>10077.2364</v>
      </c>
      <c r="O143" s="39">
        <f t="shared" si="10"/>
        <v>12519.119999999999</v>
      </c>
      <c r="P143" s="39">
        <f t="shared" si="11"/>
        <v>-2441.8835999999992</v>
      </c>
    </row>
    <row r="144" spans="1:16" x14ac:dyDescent="0.35">
      <c r="A144" s="39" t="s">
        <v>291</v>
      </c>
      <c r="B144" s="45">
        <v>45030</v>
      </c>
      <c r="C144" s="45" t="str">
        <f t="shared" si="8"/>
        <v>Apr</v>
      </c>
      <c r="D144" s="39" t="s">
        <v>22</v>
      </c>
      <c r="E144" s="39">
        <v>27</v>
      </c>
      <c r="F144" s="46" t="s">
        <v>39</v>
      </c>
      <c r="G144" s="39">
        <v>4929.55</v>
      </c>
      <c r="H144" s="39">
        <v>6990.33</v>
      </c>
      <c r="I144" s="39" t="s">
        <v>25</v>
      </c>
      <c r="J144" s="47">
        <v>0.28999999999999998</v>
      </c>
      <c r="K144" s="39" t="s">
        <v>47</v>
      </c>
      <c r="L144" s="39" t="s">
        <v>34</v>
      </c>
      <c r="M144" s="39" t="s">
        <v>35</v>
      </c>
      <c r="N144" s="39">
        <f t="shared" si="9"/>
        <v>134004.62609999999</v>
      </c>
      <c r="O144" s="39">
        <f t="shared" si="10"/>
        <v>133097.85</v>
      </c>
      <c r="P144" s="39">
        <f t="shared" si="11"/>
        <v>906.77609999998822</v>
      </c>
    </row>
    <row r="145" spans="1:16" x14ac:dyDescent="0.35">
      <c r="A145" s="39" t="s">
        <v>293</v>
      </c>
      <c r="B145" s="45">
        <v>45030</v>
      </c>
      <c r="C145" s="45" t="str">
        <f t="shared" si="8"/>
        <v>Apr</v>
      </c>
      <c r="D145" s="39" t="s">
        <v>22</v>
      </c>
      <c r="E145" s="39">
        <v>16</v>
      </c>
      <c r="F145" s="46" t="s">
        <v>45</v>
      </c>
      <c r="G145" s="39">
        <v>3966.86</v>
      </c>
      <c r="H145" s="39">
        <v>5321.04</v>
      </c>
      <c r="I145" s="39" t="s">
        <v>25</v>
      </c>
      <c r="J145" s="47">
        <v>0.23</v>
      </c>
      <c r="K145" s="39" t="s">
        <v>47</v>
      </c>
      <c r="L145" s="39" t="s">
        <v>27</v>
      </c>
      <c r="M145" s="39" t="s">
        <v>28</v>
      </c>
      <c r="N145" s="39">
        <f t="shared" si="9"/>
        <v>65555.212799999994</v>
      </c>
      <c r="O145" s="39">
        <f t="shared" si="10"/>
        <v>63469.760000000002</v>
      </c>
      <c r="P145" s="39">
        <f t="shared" si="11"/>
        <v>2085.4527999999918</v>
      </c>
    </row>
    <row r="146" spans="1:16" x14ac:dyDescent="0.35">
      <c r="A146" s="39" t="s">
        <v>295</v>
      </c>
      <c r="B146" s="45">
        <v>44965</v>
      </c>
      <c r="C146" s="45" t="str">
        <f t="shared" si="8"/>
        <v>Feb</v>
      </c>
      <c r="D146" s="39" t="s">
        <v>22</v>
      </c>
      <c r="E146" s="39">
        <v>49</v>
      </c>
      <c r="F146" s="46" t="s">
        <v>24</v>
      </c>
      <c r="G146" s="39">
        <v>3026.85</v>
      </c>
      <c r="H146" s="39">
        <v>5183.58</v>
      </c>
      <c r="I146" s="39" t="s">
        <v>25</v>
      </c>
      <c r="J146" s="47">
        <v>0.25</v>
      </c>
      <c r="K146" s="39" t="s">
        <v>26</v>
      </c>
      <c r="L146" s="39" t="s">
        <v>34</v>
      </c>
      <c r="M146" s="39" t="s">
        <v>28</v>
      </c>
      <c r="N146" s="39">
        <f t="shared" si="9"/>
        <v>190496.565</v>
      </c>
      <c r="O146" s="39">
        <f t="shared" si="10"/>
        <v>148315.65</v>
      </c>
      <c r="P146" s="39">
        <f t="shared" si="11"/>
        <v>42180.915000000008</v>
      </c>
    </row>
    <row r="147" spans="1:16" x14ac:dyDescent="0.35">
      <c r="A147" s="39" t="s">
        <v>297</v>
      </c>
      <c r="B147" s="45">
        <v>45124</v>
      </c>
      <c r="C147" s="45" t="str">
        <f t="shared" si="8"/>
        <v>Jul</v>
      </c>
      <c r="D147" s="39" t="s">
        <v>22</v>
      </c>
      <c r="E147" s="39">
        <v>15</v>
      </c>
      <c r="F147" s="46" t="s">
        <v>51</v>
      </c>
      <c r="G147" s="39">
        <v>1729.14</v>
      </c>
      <c r="H147" s="39">
        <v>1870.88</v>
      </c>
      <c r="I147" s="39" t="s">
        <v>25</v>
      </c>
      <c r="J147" s="47">
        <v>0.23</v>
      </c>
      <c r="K147" s="39" t="s">
        <v>26</v>
      </c>
      <c r="L147" s="39" t="s">
        <v>34</v>
      </c>
      <c r="M147" s="39" t="s">
        <v>28</v>
      </c>
      <c r="N147" s="39">
        <f t="shared" si="9"/>
        <v>21608.664000000001</v>
      </c>
      <c r="O147" s="39">
        <f t="shared" si="10"/>
        <v>25937.100000000002</v>
      </c>
      <c r="P147" s="39">
        <f t="shared" si="11"/>
        <v>-4328.4360000000015</v>
      </c>
    </row>
    <row r="148" spans="1:16" x14ac:dyDescent="0.35">
      <c r="A148" s="39" t="s">
        <v>299</v>
      </c>
      <c r="B148" s="45">
        <v>45060</v>
      </c>
      <c r="C148" s="45" t="str">
        <f t="shared" si="8"/>
        <v>May</v>
      </c>
      <c r="D148" s="39" t="s">
        <v>22</v>
      </c>
      <c r="E148" s="39">
        <v>35</v>
      </c>
      <c r="F148" s="46" t="s">
        <v>51</v>
      </c>
      <c r="G148" s="39">
        <v>2745.75</v>
      </c>
      <c r="H148" s="39">
        <v>3244.76</v>
      </c>
      <c r="I148" s="39" t="s">
        <v>46</v>
      </c>
      <c r="J148" s="47">
        <v>0.05</v>
      </c>
      <c r="K148" s="39" t="s">
        <v>40</v>
      </c>
      <c r="L148" s="39" t="s">
        <v>27</v>
      </c>
      <c r="M148" s="39" t="s">
        <v>41</v>
      </c>
      <c r="N148" s="39">
        <f t="shared" si="9"/>
        <v>107888.27</v>
      </c>
      <c r="O148" s="39">
        <f t="shared" si="10"/>
        <v>96101.25</v>
      </c>
      <c r="P148" s="39">
        <f t="shared" si="11"/>
        <v>11787.020000000004</v>
      </c>
    </row>
    <row r="149" spans="1:16" x14ac:dyDescent="0.35">
      <c r="A149" s="39" t="s">
        <v>300</v>
      </c>
      <c r="B149" s="45">
        <v>44993</v>
      </c>
      <c r="C149" s="45" t="str">
        <f t="shared" si="8"/>
        <v>Mar</v>
      </c>
      <c r="D149" s="39" t="s">
        <v>38</v>
      </c>
      <c r="E149" s="39">
        <v>12</v>
      </c>
      <c r="F149" s="46" t="s">
        <v>45</v>
      </c>
      <c r="G149" s="39">
        <v>253.29</v>
      </c>
      <c r="H149" s="39">
        <v>683.78</v>
      </c>
      <c r="I149" s="39" t="s">
        <v>46</v>
      </c>
      <c r="J149" s="47">
        <v>0.25</v>
      </c>
      <c r="K149" s="39" t="s">
        <v>47</v>
      </c>
      <c r="L149" s="39" t="s">
        <v>27</v>
      </c>
      <c r="M149" s="39" t="s">
        <v>28</v>
      </c>
      <c r="N149" s="39">
        <f t="shared" si="9"/>
        <v>6154.02</v>
      </c>
      <c r="O149" s="39">
        <f t="shared" si="10"/>
        <v>3039.48</v>
      </c>
      <c r="P149" s="39">
        <f t="shared" si="11"/>
        <v>3114.5400000000004</v>
      </c>
    </row>
    <row r="150" spans="1:16" x14ac:dyDescent="0.35">
      <c r="A150" s="39" t="s">
        <v>301</v>
      </c>
      <c r="B150" s="45">
        <v>45105</v>
      </c>
      <c r="C150" s="45" t="str">
        <f t="shared" si="8"/>
        <v>Jun</v>
      </c>
      <c r="D150" s="39" t="s">
        <v>54</v>
      </c>
      <c r="E150" s="39">
        <v>41</v>
      </c>
      <c r="F150" s="46" t="s">
        <v>45</v>
      </c>
      <c r="G150" s="39">
        <v>3736.88</v>
      </c>
      <c r="H150" s="39">
        <v>3946.77</v>
      </c>
      <c r="I150" s="39" t="s">
        <v>25</v>
      </c>
      <c r="J150" s="47">
        <v>0.06</v>
      </c>
      <c r="K150" s="39" t="s">
        <v>47</v>
      </c>
      <c r="L150" s="39" t="s">
        <v>34</v>
      </c>
      <c r="M150" s="39" t="s">
        <v>28</v>
      </c>
      <c r="N150" s="39">
        <f t="shared" si="9"/>
        <v>152108.51579999999</v>
      </c>
      <c r="O150" s="39">
        <f t="shared" si="10"/>
        <v>153212.08000000002</v>
      </c>
      <c r="P150" s="39">
        <f t="shared" si="11"/>
        <v>-1103.5642000000225</v>
      </c>
    </row>
    <row r="151" spans="1:16" x14ac:dyDescent="0.35">
      <c r="A151" s="39" t="s">
        <v>303</v>
      </c>
      <c r="B151" s="45">
        <v>44968</v>
      </c>
      <c r="C151" s="45" t="str">
        <f t="shared" si="8"/>
        <v>Feb</v>
      </c>
      <c r="D151" s="39" t="s">
        <v>22</v>
      </c>
      <c r="E151" s="39">
        <v>44</v>
      </c>
      <c r="F151" s="46" t="s">
        <v>39</v>
      </c>
      <c r="G151" s="39">
        <v>2257.48</v>
      </c>
      <c r="H151" s="39">
        <v>3747.81</v>
      </c>
      <c r="I151" s="39" t="s">
        <v>25</v>
      </c>
      <c r="J151" s="47">
        <v>0.27</v>
      </c>
      <c r="K151" s="39" t="s">
        <v>26</v>
      </c>
      <c r="L151" s="39" t="s">
        <v>27</v>
      </c>
      <c r="M151" s="39" t="s">
        <v>41</v>
      </c>
      <c r="N151" s="39">
        <f t="shared" si="9"/>
        <v>120379.65719999999</v>
      </c>
      <c r="O151" s="39">
        <f t="shared" si="10"/>
        <v>99329.12</v>
      </c>
      <c r="P151" s="39">
        <f t="shared" si="11"/>
        <v>21050.537199999992</v>
      </c>
    </row>
    <row r="152" spans="1:16" x14ac:dyDescent="0.35">
      <c r="A152" s="39" t="s">
        <v>304</v>
      </c>
      <c r="B152" s="45">
        <v>44941</v>
      </c>
      <c r="C152" s="45" t="str">
        <f t="shared" si="8"/>
        <v>Jan</v>
      </c>
      <c r="D152" s="39" t="s">
        <v>81</v>
      </c>
      <c r="E152" s="39">
        <v>26</v>
      </c>
      <c r="F152" s="46" t="s">
        <v>39</v>
      </c>
      <c r="G152" s="39">
        <v>149.11000000000001</v>
      </c>
      <c r="H152" s="39">
        <v>477.67</v>
      </c>
      <c r="I152" s="39" t="s">
        <v>25</v>
      </c>
      <c r="J152" s="47">
        <v>0.14000000000000001</v>
      </c>
      <c r="K152" s="39" t="s">
        <v>26</v>
      </c>
      <c r="L152" s="39" t="s">
        <v>27</v>
      </c>
      <c r="M152" s="39" t="s">
        <v>41</v>
      </c>
      <c r="N152" s="39">
        <f t="shared" si="9"/>
        <v>10680.7012</v>
      </c>
      <c r="O152" s="39">
        <f t="shared" si="10"/>
        <v>3876.8600000000006</v>
      </c>
      <c r="P152" s="39">
        <f t="shared" si="11"/>
        <v>6803.8411999999989</v>
      </c>
    </row>
    <row r="153" spans="1:16" x14ac:dyDescent="0.35">
      <c r="A153" s="39" t="s">
        <v>306</v>
      </c>
      <c r="B153" s="45">
        <v>45037</v>
      </c>
      <c r="C153" s="45" t="str">
        <f t="shared" si="8"/>
        <v>Apr</v>
      </c>
      <c r="D153" s="39" t="s">
        <v>81</v>
      </c>
      <c r="E153" s="39">
        <v>47</v>
      </c>
      <c r="F153" s="46" t="s">
        <v>45</v>
      </c>
      <c r="G153" s="39">
        <v>359.41</v>
      </c>
      <c r="H153" s="39">
        <v>733</v>
      </c>
      <c r="I153" s="39" t="s">
        <v>25</v>
      </c>
      <c r="J153" s="47">
        <v>0.2</v>
      </c>
      <c r="K153" s="39" t="s">
        <v>40</v>
      </c>
      <c r="L153" s="39" t="s">
        <v>34</v>
      </c>
      <c r="M153" s="39" t="s">
        <v>28</v>
      </c>
      <c r="N153" s="39">
        <f t="shared" si="9"/>
        <v>27560.800000000003</v>
      </c>
      <c r="O153" s="39">
        <f t="shared" si="10"/>
        <v>16892.27</v>
      </c>
      <c r="P153" s="39">
        <f t="shared" si="11"/>
        <v>10668.530000000002</v>
      </c>
    </row>
    <row r="154" spans="1:16" x14ac:dyDescent="0.35">
      <c r="A154" s="39" t="s">
        <v>308</v>
      </c>
      <c r="B154" s="45">
        <v>45083</v>
      </c>
      <c r="C154" s="45" t="str">
        <f t="shared" si="8"/>
        <v>Jun</v>
      </c>
      <c r="D154" s="39" t="s">
        <v>81</v>
      </c>
      <c r="E154" s="39">
        <v>34</v>
      </c>
      <c r="F154" s="46" t="s">
        <v>24</v>
      </c>
      <c r="G154" s="39">
        <v>1967.96</v>
      </c>
      <c r="H154" s="39">
        <v>1993.4</v>
      </c>
      <c r="I154" s="39" t="s">
        <v>25</v>
      </c>
      <c r="J154" s="47">
        <v>0.15</v>
      </c>
      <c r="K154" s="39" t="s">
        <v>47</v>
      </c>
      <c r="L154" s="39" t="s">
        <v>27</v>
      </c>
      <c r="M154" s="39" t="s">
        <v>28</v>
      </c>
      <c r="N154" s="39">
        <f t="shared" si="9"/>
        <v>57609.26</v>
      </c>
      <c r="O154" s="39">
        <f t="shared" si="10"/>
        <v>66910.64</v>
      </c>
      <c r="P154" s="39">
        <f t="shared" si="11"/>
        <v>-9301.3799999999974</v>
      </c>
    </row>
    <row r="155" spans="1:16" x14ac:dyDescent="0.35">
      <c r="A155" s="39" t="s">
        <v>310</v>
      </c>
      <c r="B155" s="45">
        <v>45215</v>
      </c>
      <c r="C155" s="45" t="str">
        <f t="shared" si="8"/>
        <v>Oct</v>
      </c>
      <c r="D155" s="39" t="s">
        <v>81</v>
      </c>
      <c r="E155" s="39">
        <v>23</v>
      </c>
      <c r="F155" s="46" t="s">
        <v>39</v>
      </c>
      <c r="G155" s="39">
        <v>2937.94</v>
      </c>
      <c r="H155" s="39">
        <v>3007.53</v>
      </c>
      <c r="I155" s="39" t="s">
        <v>25</v>
      </c>
      <c r="J155" s="47">
        <v>0.03</v>
      </c>
      <c r="K155" s="39" t="s">
        <v>26</v>
      </c>
      <c r="L155" s="39" t="s">
        <v>27</v>
      </c>
      <c r="M155" s="39" t="s">
        <v>28</v>
      </c>
      <c r="N155" s="39">
        <f t="shared" si="9"/>
        <v>67097.994300000006</v>
      </c>
      <c r="O155" s="39">
        <f t="shared" si="10"/>
        <v>67572.62</v>
      </c>
      <c r="P155" s="39">
        <f t="shared" si="11"/>
        <v>-474.62569999998959</v>
      </c>
    </row>
    <row r="156" spans="1:16" x14ac:dyDescent="0.35">
      <c r="A156" s="39" t="s">
        <v>311</v>
      </c>
      <c r="B156" s="45">
        <v>45157</v>
      </c>
      <c r="C156" s="45" t="str">
        <f t="shared" si="8"/>
        <v>Aug</v>
      </c>
      <c r="D156" s="39" t="s">
        <v>38</v>
      </c>
      <c r="E156" s="39">
        <v>31</v>
      </c>
      <c r="F156" s="46" t="s">
        <v>45</v>
      </c>
      <c r="G156" s="39">
        <v>2347.81</v>
      </c>
      <c r="H156" s="39">
        <v>2668.02</v>
      </c>
      <c r="I156" s="39" t="s">
        <v>25</v>
      </c>
      <c r="J156" s="47">
        <v>0.09</v>
      </c>
      <c r="K156" s="39" t="s">
        <v>40</v>
      </c>
      <c r="L156" s="39" t="s">
        <v>34</v>
      </c>
      <c r="M156" s="39" t="s">
        <v>28</v>
      </c>
      <c r="N156" s="39">
        <f t="shared" si="9"/>
        <v>75264.844199999992</v>
      </c>
      <c r="O156" s="39">
        <f t="shared" si="10"/>
        <v>72782.11</v>
      </c>
      <c r="P156" s="39">
        <f t="shared" si="11"/>
        <v>2482.7341999999917</v>
      </c>
    </row>
    <row r="157" spans="1:16" x14ac:dyDescent="0.35">
      <c r="A157" s="39" t="s">
        <v>313</v>
      </c>
      <c r="B157" s="45">
        <v>45083</v>
      </c>
      <c r="C157" s="45" t="str">
        <f t="shared" si="8"/>
        <v>Jun</v>
      </c>
      <c r="D157" s="39" t="s">
        <v>81</v>
      </c>
      <c r="E157" s="39">
        <v>20</v>
      </c>
      <c r="F157" s="46" t="s">
        <v>39</v>
      </c>
      <c r="G157" s="39">
        <v>3115.06</v>
      </c>
      <c r="H157" s="39">
        <v>3765.58</v>
      </c>
      <c r="I157" s="39" t="s">
        <v>25</v>
      </c>
      <c r="J157" s="47">
        <v>0.3</v>
      </c>
      <c r="K157" s="39" t="s">
        <v>47</v>
      </c>
      <c r="L157" s="39" t="s">
        <v>27</v>
      </c>
      <c r="M157" s="39" t="s">
        <v>35</v>
      </c>
      <c r="N157" s="39">
        <f t="shared" si="9"/>
        <v>52718.12</v>
      </c>
      <c r="O157" s="39">
        <f t="shared" si="10"/>
        <v>62301.2</v>
      </c>
      <c r="P157" s="39">
        <f t="shared" si="11"/>
        <v>-9583.0799999999945</v>
      </c>
    </row>
    <row r="158" spans="1:16" x14ac:dyDescent="0.35">
      <c r="A158" s="39" t="s">
        <v>315</v>
      </c>
      <c r="B158" s="45">
        <v>44964</v>
      </c>
      <c r="C158" s="45" t="str">
        <f t="shared" si="8"/>
        <v>Feb</v>
      </c>
      <c r="D158" s="39" t="s">
        <v>22</v>
      </c>
      <c r="E158" s="39">
        <v>12</v>
      </c>
      <c r="F158" s="46" t="s">
        <v>45</v>
      </c>
      <c r="G158" s="39">
        <v>2427.46</v>
      </c>
      <c r="H158" s="39">
        <v>2743.09</v>
      </c>
      <c r="I158" s="39" t="s">
        <v>46</v>
      </c>
      <c r="J158" s="47">
        <v>0.28999999999999998</v>
      </c>
      <c r="K158" s="39" t="s">
        <v>47</v>
      </c>
      <c r="L158" s="39" t="s">
        <v>34</v>
      </c>
      <c r="M158" s="39" t="s">
        <v>35</v>
      </c>
      <c r="N158" s="39">
        <f t="shared" si="9"/>
        <v>23371.126800000002</v>
      </c>
      <c r="O158" s="39">
        <f t="shared" si="10"/>
        <v>29129.52</v>
      </c>
      <c r="P158" s="39">
        <f t="shared" si="11"/>
        <v>-5758.3931999999986</v>
      </c>
    </row>
    <row r="159" spans="1:16" x14ac:dyDescent="0.35">
      <c r="A159" s="39" t="s">
        <v>317</v>
      </c>
      <c r="B159" s="45">
        <v>45023</v>
      </c>
      <c r="C159" s="45" t="str">
        <f t="shared" si="8"/>
        <v>Apr</v>
      </c>
      <c r="D159" s="39" t="s">
        <v>32</v>
      </c>
      <c r="E159" s="39">
        <v>23</v>
      </c>
      <c r="F159" s="46" t="s">
        <v>51</v>
      </c>
      <c r="G159" s="39">
        <v>3325.43</v>
      </c>
      <c r="H159" s="39">
        <v>3401.1</v>
      </c>
      <c r="I159" s="39" t="s">
        <v>46</v>
      </c>
      <c r="J159" s="47">
        <v>0.1</v>
      </c>
      <c r="K159" s="39" t="s">
        <v>26</v>
      </c>
      <c r="L159" s="39" t="s">
        <v>34</v>
      </c>
      <c r="M159" s="39" t="s">
        <v>28</v>
      </c>
      <c r="N159" s="39">
        <f t="shared" si="9"/>
        <v>70402.77</v>
      </c>
      <c r="O159" s="39">
        <f t="shared" si="10"/>
        <v>76484.89</v>
      </c>
      <c r="P159" s="39">
        <f t="shared" si="11"/>
        <v>-6082.1199999999953</v>
      </c>
    </row>
    <row r="160" spans="1:16" x14ac:dyDescent="0.35">
      <c r="A160" s="39" t="s">
        <v>318</v>
      </c>
      <c r="B160" s="45">
        <v>45215</v>
      </c>
      <c r="C160" s="45" t="str">
        <f t="shared" si="8"/>
        <v>Oct</v>
      </c>
      <c r="D160" s="39" t="s">
        <v>81</v>
      </c>
      <c r="E160" s="39">
        <v>4</v>
      </c>
      <c r="F160" s="46" t="s">
        <v>45</v>
      </c>
      <c r="G160" s="39">
        <v>1134.67</v>
      </c>
      <c r="H160" s="39">
        <v>1201.3900000000001</v>
      </c>
      <c r="I160" s="39" t="s">
        <v>46</v>
      </c>
      <c r="J160" s="47">
        <v>0.3</v>
      </c>
      <c r="K160" s="39" t="s">
        <v>40</v>
      </c>
      <c r="L160" s="39" t="s">
        <v>27</v>
      </c>
      <c r="M160" s="39" t="s">
        <v>35</v>
      </c>
      <c r="N160" s="39">
        <f t="shared" si="9"/>
        <v>3363.8920000000003</v>
      </c>
      <c r="O160" s="39">
        <f t="shared" si="10"/>
        <v>4538.68</v>
      </c>
      <c r="P160" s="39">
        <f t="shared" si="11"/>
        <v>-1174.788</v>
      </c>
    </row>
    <row r="161" spans="1:16" x14ac:dyDescent="0.35">
      <c r="A161" s="39" t="s">
        <v>319</v>
      </c>
      <c r="B161" s="45">
        <v>45180</v>
      </c>
      <c r="C161" s="45" t="str">
        <f t="shared" si="8"/>
        <v>Sep</v>
      </c>
      <c r="D161" s="39" t="s">
        <v>38</v>
      </c>
      <c r="E161" s="39">
        <v>23</v>
      </c>
      <c r="F161" s="46" t="s">
        <v>51</v>
      </c>
      <c r="G161" s="39">
        <v>608.57000000000005</v>
      </c>
      <c r="H161" s="39">
        <v>1032.22</v>
      </c>
      <c r="I161" s="39" t="s">
        <v>46</v>
      </c>
      <c r="J161" s="47">
        <v>0.25</v>
      </c>
      <c r="K161" s="39" t="s">
        <v>26</v>
      </c>
      <c r="L161" s="39" t="s">
        <v>27</v>
      </c>
      <c r="M161" s="39" t="s">
        <v>41</v>
      </c>
      <c r="N161" s="39">
        <f t="shared" si="9"/>
        <v>17805.795000000002</v>
      </c>
      <c r="O161" s="39">
        <f t="shared" si="10"/>
        <v>13997.11</v>
      </c>
      <c r="P161" s="39">
        <f t="shared" si="11"/>
        <v>3808.6850000000013</v>
      </c>
    </row>
    <row r="162" spans="1:16" x14ac:dyDescent="0.35">
      <c r="A162" s="39" t="s">
        <v>320</v>
      </c>
      <c r="B162" s="45">
        <v>45122</v>
      </c>
      <c r="C162" s="45" t="str">
        <f t="shared" si="8"/>
        <v>Jul</v>
      </c>
      <c r="D162" s="39" t="s">
        <v>38</v>
      </c>
      <c r="E162" s="39">
        <v>48</v>
      </c>
      <c r="F162" s="46" t="s">
        <v>39</v>
      </c>
      <c r="G162" s="39">
        <v>3002.35</v>
      </c>
      <c r="H162" s="39">
        <v>4080.61</v>
      </c>
      <c r="I162" s="39" t="s">
        <v>25</v>
      </c>
      <c r="J162" s="47">
        <v>0.18</v>
      </c>
      <c r="K162" s="39" t="s">
        <v>40</v>
      </c>
      <c r="L162" s="39" t="s">
        <v>27</v>
      </c>
      <c r="M162" s="39" t="s">
        <v>35</v>
      </c>
      <c r="N162" s="39">
        <f t="shared" si="9"/>
        <v>160612.80960000001</v>
      </c>
      <c r="O162" s="39">
        <f t="shared" si="10"/>
        <v>144112.79999999999</v>
      </c>
      <c r="P162" s="39">
        <f t="shared" si="11"/>
        <v>16500.009600000019</v>
      </c>
    </row>
    <row r="163" spans="1:16" x14ac:dyDescent="0.35">
      <c r="A163" s="39" t="s">
        <v>322</v>
      </c>
      <c r="B163" s="45">
        <v>45012</v>
      </c>
      <c r="C163" s="45" t="str">
        <f t="shared" si="8"/>
        <v>Mar</v>
      </c>
      <c r="D163" s="39" t="s">
        <v>81</v>
      </c>
      <c r="E163" s="39">
        <v>48</v>
      </c>
      <c r="F163" s="46" t="s">
        <v>45</v>
      </c>
      <c r="G163" s="39">
        <v>2449.21</v>
      </c>
      <c r="H163" s="39">
        <v>2714.12</v>
      </c>
      <c r="I163" s="39" t="s">
        <v>46</v>
      </c>
      <c r="J163" s="47">
        <v>0.01</v>
      </c>
      <c r="K163" s="39" t="s">
        <v>47</v>
      </c>
      <c r="L163" s="39" t="s">
        <v>34</v>
      </c>
      <c r="M163" s="39" t="s">
        <v>35</v>
      </c>
      <c r="N163" s="39">
        <f t="shared" si="9"/>
        <v>128974.98239999999</v>
      </c>
      <c r="O163" s="39">
        <f t="shared" si="10"/>
        <v>117562.08</v>
      </c>
      <c r="P163" s="39">
        <f t="shared" si="11"/>
        <v>11412.902399999992</v>
      </c>
    </row>
    <row r="164" spans="1:16" x14ac:dyDescent="0.35">
      <c r="A164" s="39" t="s">
        <v>324</v>
      </c>
      <c r="B164" s="45">
        <v>45248</v>
      </c>
      <c r="C164" s="45" t="str">
        <f t="shared" si="8"/>
        <v>Nov</v>
      </c>
      <c r="D164" s="39" t="s">
        <v>32</v>
      </c>
      <c r="E164" s="39">
        <v>1</v>
      </c>
      <c r="F164" s="46" t="s">
        <v>39</v>
      </c>
      <c r="G164" s="39">
        <v>182.99</v>
      </c>
      <c r="H164" s="39">
        <v>211.18</v>
      </c>
      <c r="I164" s="39" t="s">
        <v>25</v>
      </c>
      <c r="J164" s="47">
        <v>0.27</v>
      </c>
      <c r="K164" s="39" t="s">
        <v>40</v>
      </c>
      <c r="L164" s="39" t="s">
        <v>27</v>
      </c>
      <c r="M164" s="39" t="s">
        <v>28</v>
      </c>
      <c r="N164" s="39">
        <f t="shared" si="9"/>
        <v>154.16140000000001</v>
      </c>
      <c r="O164" s="39">
        <f t="shared" si="10"/>
        <v>182.99</v>
      </c>
      <c r="P164" s="39">
        <f t="shared" si="11"/>
        <v>-28.828599999999994</v>
      </c>
    </row>
    <row r="165" spans="1:16" x14ac:dyDescent="0.35">
      <c r="A165" s="39" t="s">
        <v>325</v>
      </c>
      <c r="B165" s="45">
        <v>44936</v>
      </c>
      <c r="C165" s="45" t="str">
        <f t="shared" si="8"/>
        <v>Jan</v>
      </c>
      <c r="D165" s="39" t="s">
        <v>81</v>
      </c>
      <c r="E165" s="39">
        <v>25</v>
      </c>
      <c r="F165" s="46" t="s">
        <v>51</v>
      </c>
      <c r="G165" s="39">
        <v>1933.39</v>
      </c>
      <c r="H165" s="39">
        <v>1982.92</v>
      </c>
      <c r="I165" s="39" t="s">
        <v>46</v>
      </c>
      <c r="J165" s="47">
        <v>0.17</v>
      </c>
      <c r="K165" s="39" t="s">
        <v>40</v>
      </c>
      <c r="L165" s="39" t="s">
        <v>34</v>
      </c>
      <c r="M165" s="39" t="s">
        <v>35</v>
      </c>
      <c r="N165" s="39">
        <f t="shared" si="9"/>
        <v>41145.589999999997</v>
      </c>
      <c r="O165" s="39">
        <f t="shared" si="10"/>
        <v>48334.75</v>
      </c>
      <c r="P165" s="39">
        <f t="shared" si="11"/>
        <v>-7189.1600000000035</v>
      </c>
    </row>
    <row r="166" spans="1:16" x14ac:dyDescent="0.35">
      <c r="A166" s="39" t="s">
        <v>326</v>
      </c>
      <c r="B166" s="45">
        <v>44931</v>
      </c>
      <c r="C166" s="45" t="str">
        <f t="shared" si="8"/>
        <v>Jan</v>
      </c>
      <c r="D166" s="39" t="s">
        <v>38</v>
      </c>
      <c r="E166" s="39">
        <v>2</v>
      </c>
      <c r="F166" s="46" t="s">
        <v>45</v>
      </c>
      <c r="G166" s="39">
        <v>575.32000000000005</v>
      </c>
      <c r="H166" s="39">
        <v>914.77</v>
      </c>
      <c r="I166" s="39" t="s">
        <v>25</v>
      </c>
      <c r="J166" s="47">
        <v>0.26</v>
      </c>
      <c r="K166" s="39" t="s">
        <v>40</v>
      </c>
      <c r="L166" s="39" t="s">
        <v>27</v>
      </c>
      <c r="M166" s="39" t="s">
        <v>35</v>
      </c>
      <c r="N166" s="39">
        <f t="shared" si="9"/>
        <v>1353.8596</v>
      </c>
      <c r="O166" s="39">
        <f t="shared" si="10"/>
        <v>1150.6400000000001</v>
      </c>
      <c r="P166" s="39">
        <f t="shared" si="11"/>
        <v>203.2195999999999</v>
      </c>
    </row>
    <row r="167" spans="1:16" x14ac:dyDescent="0.35">
      <c r="A167" s="39" t="s">
        <v>328</v>
      </c>
      <c r="B167" s="45">
        <v>45049</v>
      </c>
      <c r="C167" s="45" t="str">
        <f t="shared" si="8"/>
        <v>May</v>
      </c>
      <c r="D167" s="39" t="s">
        <v>54</v>
      </c>
      <c r="E167" s="39">
        <v>30</v>
      </c>
      <c r="F167" s="46" t="s">
        <v>39</v>
      </c>
      <c r="G167" s="39">
        <v>2680.22</v>
      </c>
      <c r="H167" s="39">
        <v>4027.92</v>
      </c>
      <c r="I167" s="39" t="s">
        <v>25</v>
      </c>
      <c r="J167" s="47">
        <v>0.25</v>
      </c>
      <c r="K167" s="39" t="s">
        <v>40</v>
      </c>
      <c r="L167" s="39" t="s">
        <v>27</v>
      </c>
      <c r="M167" s="39" t="s">
        <v>35</v>
      </c>
      <c r="N167" s="39">
        <f t="shared" si="9"/>
        <v>90628.200000000012</v>
      </c>
      <c r="O167" s="39">
        <f t="shared" si="10"/>
        <v>80406.599999999991</v>
      </c>
      <c r="P167" s="39">
        <f t="shared" si="11"/>
        <v>10221.60000000002</v>
      </c>
    </row>
    <row r="168" spans="1:16" x14ac:dyDescent="0.35">
      <c r="A168" s="39" t="s">
        <v>329</v>
      </c>
      <c r="B168" s="45">
        <v>45256</v>
      </c>
      <c r="C168" s="45" t="str">
        <f t="shared" si="8"/>
        <v>Nov</v>
      </c>
      <c r="D168" s="39" t="s">
        <v>22</v>
      </c>
      <c r="E168" s="39">
        <v>3</v>
      </c>
      <c r="F168" s="46" t="s">
        <v>51</v>
      </c>
      <c r="G168" s="39">
        <v>2009.1</v>
      </c>
      <c r="H168" s="39">
        <v>2186.42</v>
      </c>
      <c r="I168" s="39" t="s">
        <v>46</v>
      </c>
      <c r="J168" s="47">
        <v>0.25</v>
      </c>
      <c r="K168" s="39" t="s">
        <v>40</v>
      </c>
      <c r="L168" s="39" t="s">
        <v>27</v>
      </c>
      <c r="M168" s="39" t="s">
        <v>35</v>
      </c>
      <c r="N168" s="39">
        <f t="shared" si="9"/>
        <v>4919.4449999999997</v>
      </c>
      <c r="O168" s="39">
        <f t="shared" si="10"/>
        <v>6027.2999999999993</v>
      </c>
      <c r="P168" s="39">
        <f t="shared" si="11"/>
        <v>-1107.8549999999996</v>
      </c>
    </row>
    <row r="169" spans="1:16" x14ac:dyDescent="0.35">
      <c r="A169" s="39" t="s">
        <v>330</v>
      </c>
      <c r="B169" s="45">
        <v>45279</v>
      </c>
      <c r="C169" s="45" t="str">
        <f t="shared" si="8"/>
        <v>Dec</v>
      </c>
      <c r="D169" s="39" t="s">
        <v>38</v>
      </c>
      <c r="E169" s="39">
        <v>21</v>
      </c>
      <c r="F169" s="46" t="s">
        <v>39</v>
      </c>
      <c r="G169" s="39">
        <v>3085.1</v>
      </c>
      <c r="H169" s="39">
        <v>3800.75</v>
      </c>
      <c r="I169" s="39" t="s">
        <v>46</v>
      </c>
      <c r="J169" s="47">
        <v>0.21</v>
      </c>
      <c r="K169" s="39" t="s">
        <v>26</v>
      </c>
      <c r="L169" s="39" t="s">
        <v>34</v>
      </c>
      <c r="M169" s="39" t="s">
        <v>41</v>
      </c>
      <c r="N169" s="39">
        <f t="shared" si="9"/>
        <v>63054.442500000005</v>
      </c>
      <c r="O169" s="39">
        <f t="shared" si="10"/>
        <v>64787.1</v>
      </c>
      <c r="P169" s="39">
        <f t="shared" si="11"/>
        <v>-1732.6574999999939</v>
      </c>
    </row>
    <row r="170" spans="1:16" x14ac:dyDescent="0.35">
      <c r="A170" s="39" t="s">
        <v>331</v>
      </c>
      <c r="B170" s="45">
        <v>45044</v>
      </c>
      <c r="C170" s="45" t="str">
        <f t="shared" si="8"/>
        <v>Apr</v>
      </c>
      <c r="D170" s="39" t="s">
        <v>81</v>
      </c>
      <c r="E170" s="39">
        <v>25</v>
      </c>
      <c r="F170" s="46" t="s">
        <v>24</v>
      </c>
      <c r="G170" s="39">
        <v>4037.73</v>
      </c>
      <c r="H170" s="39">
        <v>4446.45</v>
      </c>
      <c r="I170" s="39" t="s">
        <v>25</v>
      </c>
      <c r="J170" s="47">
        <v>0.09</v>
      </c>
      <c r="K170" s="39" t="s">
        <v>40</v>
      </c>
      <c r="L170" s="39" t="s">
        <v>27</v>
      </c>
      <c r="M170" s="39" t="s">
        <v>28</v>
      </c>
      <c r="N170" s="39">
        <f t="shared" si="9"/>
        <v>101156.7375</v>
      </c>
      <c r="O170" s="39">
        <f t="shared" si="10"/>
        <v>100943.25</v>
      </c>
      <c r="P170" s="39">
        <f t="shared" si="11"/>
        <v>213.48750000000291</v>
      </c>
    </row>
    <row r="171" spans="1:16" x14ac:dyDescent="0.35">
      <c r="A171" s="39" t="s">
        <v>332</v>
      </c>
      <c r="B171" s="45">
        <v>45220</v>
      </c>
      <c r="C171" s="45" t="str">
        <f t="shared" si="8"/>
        <v>Oct</v>
      </c>
      <c r="D171" s="39" t="s">
        <v>22</v>
      </c>
      <c r="E171" s="39">
        <v>20</v>
      </c>
      <c r="F171" s="46" t="s">
        <v>51</v>
      </c>
      <c r="G171" s="39">
        <v>1533.36</v>
      </c>
      <c r="H171" s="39">
        <v>1649.74</v>
      </c>
      <c r="I171" s="39" t="s">
        <v>25</v>
      </c>
      <c r="J171" s="47">
        <v>0.1</v>
      </c>
      <c r="K171" s="39" t="s">
        <v>40</v>
      </c>
      <c r="L171" s="39" t="s">
        <v>27</v>
      </c>
      <c r="M171" s="39" t="s">
        <v>28</v>
      </c>
      <c r="N171" s="39">
        <f t="shared" si="9"/>
        <v>29695.320000000003</v>
      </c>
      <c r="O171" s="39">
        <f t="shared" si="10"/>
        <v>30667.199999999997</v>
      </c>
      <c r="P171" s="39">
        <f t="shared" si="11"/>
        <v>-971.87999999999374</v>
      </c>
    </row>
    <row r="172" spans="1:16" x14ac:dyDescent="0.35">
      <c r="A172" s="39" t="s">
        <v>334</v>
      </c>
      <c r="B172" s="45">
        <v>45085</v>
      </c>
      <c r="C172" s="45" t="str">
        <f t="shared" si="8"/>
        <v>Jun</v>
      </c>
      <c r="D172" s="39" t="s">
        <v>81</v>
      </c>
      <c r="E172" s="39">
        <v>49</v>
      </c>
      <c r="F172" s="46" t="s">
        <v>51</v>
      </c>
      <c r="G172" s="39">
        <v>4812.41</v>
      </c>
      <c r="H172" s="39">
        <v>5588</v>
      </c>
      <c r="I172" s="39" t="s">
        <v>25</v>
      </c>
      <c r="J172" s="47">
        <v>0.09</v>
      </c>
      <c r="K172" s="39" t="s">
        <v>47</v>
      </c>
      <c r="L172" s="39" t="s">
        <v>34</v>
      </c>
      <c r="M172" s="39" t="s">
        <v>41</v>
      </c>
      <c r="N172" s="39">
        <f t="shared" si="9"/>
        <v>249168.92</v>
      </c>
      <c r="O172" s="39">
        <f t="shared" si="10"/>
        <v>235808.09</v>
      </c>
      <c r="P172" s="39">
        <f t="shared" si="11"/>
        <v>13360.830000000016</v>
      </c>
    </row>
    <row r="173" spans="1:16" x14ac:dyDescent="0.35">
      <c r="A173" s="39" t="s">
        <v>335</v>
      </c>
      <c r="B173" s="45">
        <v>45229</v>
      </c>
      <c r="C173" s="45" t="str">
        <f t="shared" si="8"/>
        <v>Oct</v>
      </c>
      <c r="D173" s="39" t="s">
        <v>81</v>
      </c>
      <c r="E173" s="39">
        <v>22</v>
      </c>
      <c r="F173" s="46" t="s">
        <v>51</v>
      </c>
      <c r="G173" s="39">
        <v>2701.39</v>
      </c>
      <c r="H173" s="39">
        <v>3185.81</v>
      </c>
      <c r="I173" s="39" t="s">
        <v>46</v>
      </c>
      <c r="J173" s="47">
        <v>0.01</v>
      </c>
      <c r="K173" s="39" t="s">
        <v>40</v>
      </c>
      <c r="L173" s="39" t="s">
        <v>34</v>
      </c>
      <c r="M173" s="39" t="s">
        <v>35</v>
      </c>
      <c r="N173" s="39">
        <f t="shared" si="9"/>
        <v>69386.941799999986</v>
      </c>
      <c r="O173" s="39">
        <f t="shared" si="10"/>
        <v>59430.579999999994</v>
      </c>
      <c r="P173" s="39">
        <f t="shared" si="11"/>
        <v>9956.3617999999915</v>
      </c>
    </row>
    <row r="174" spans="1:16" x14ac:dyDescent="0.35">
      <c r="A174" s="39" t="s">
        <v>336</v>
      </c>
      <c r="B174" s="45">
        <v>45154</v>
      </c>
      <c r="C174" s="45" t="str">
        <f t="shared" si="8"/>
        <v>Aug</v>
      </c>
      <c r="D174" s="39" t="s">
        <v>54</v>
      </c>
      <c r="E174" s="39">
        <v>21</v>
      </c>
      <c r="F174" s="46" t="s">
        <v>45</v>
      </c>
      <c r="G174" s="39">
        <v>3110.54</v>
      </c>
      <c r="H174" s="39">
        <v>3192.99</v>
      </c>
      <c r="I174" s="39" t="s">
        <v>46</v>
      </c>
      <c r="J174" s="47">
        <v>0.17</v>
      </c>
      <c r="K174" s="39" t="s">
        <v>47</v>
      </c>
      <c r="L174" s="39" t="s">
        <v>27</v>
      </c>
      <c r="M174" s="39" t="s">
        <v>41</v>
      </c>
      <c r="N174" s="39">
        <f t="shared" si="9"/>
        <v>55653.815699999992</v>
      </c>
      <c r="O174" s="39">
        <f t="shared" si="10"/>
        <v>65321.34</v>
      </c>
      <c r="P174" s="39">
        <f t="shared" si="11"/>
        <v>-9667.5243000000046</v>
      </c>
    </row>
    <row r="175" spans="1:16" x14ac:dyDescent="0.35">
      <c r="A175" s="39" t="s">
        <v>338</v>
      </c>
      <c r="B175" s="45">
        <v>45291</v>
      </c>
      <c r="C175" s="45" t="str">
        <f t="shared" si="8"/>
        <v>Dec</v>
      </c>
      <c r="D175" s="39" t="s">
        <v>22</v>
      </c>
      <c r="E175" s="39">
        <v>33</v>
      </c>
      <c r="F175" s="46" t="s">
        <v>45</v>
      </c>
      <c r="G175" s="39">
        <v>3419.33</v>
      </c>
      <c r="H175" s="39">
        <v>3890.36</v>
      </c>
      <c r="I175" s="39" t="s">
        <v>25</v>
      </c>
      <c r="J175" s="47">
        <v>0.21</v>
      </c>
      <c r="K175" s="39" t="s">
        <v>26</v>
      </c>
      <c r="L175" s="39" t="s">
        <v>27</v>
      </c>
      <c r="M175" s="39" t="s">
        <v>35</v>
      </c>
      <c r="N175" s="39">
        <f t="shared" si="9"/>
        <v>101421.68520000001</v>
      </c>
      <c r="O175" s="39">
        <f t="shared" si="10"/>
        <v>112837.89</v>
      </c>
      <c r="P175" s="39">
        <f t="shared" si="11"/>
        <v>-11416.204799999992</v>
      </c>
    </row>
    <row r="176" spans="1:16" x14ac:dyDescent="0.35">
      <c r="A176" s="39" t="s">
        <v>339</v>
      </c>
      <c r="B176" s="45">
        <v>45142</v>
      </c>
      <c r="C176" s="45" t="str">
        <f t="shared" si="8"/>
        <v>Aug</v>
      </c>
      <c r="D176" s="39" t="s">
        <v>22</v>
      </c>
      <c r="E176" s="39">
        <v>38</v>
      </c>
      <c r="F176" s="46" t="s">
        <v>45</v>
      </c>
      <c r="G176" s="39">
        <v>3350.32</v>
      </c>
      <c r="H176" s="39">
        <v>5449.94</v>
      </c>
      <c r="I176" s="39" t="s">
        <v>46</v>
      </c>
      <c r="J176" s="47">
        <v>0.26</v>
      </c>
      <c r="K176" s="39" t="s">
        <v>26</v>
      </c>
      <c r="L176" s="39" t="s">
        <v>27</v>
      </c>
      <c r="M176" s="39" t="s">
        <v>41</v>
      </c>
      <c r="N176" s="39">
        <f t="shared" si="9"/>
        <v>153252.31279999999</v>
      </c>
      <c r="O176" s="39">
        <f t="shared" si="10"/>
        <v>127312.16</v>
      </c>
      <c r="P176" s="39">
        <f t="shared" si="11"/>
        <v>25940.152799999982</v>
      </c>
    </row>
    <row r="177" spans="1:16" x14ac:dyDescent="0.35">
      <c r="A177" s="39" t="s">
        <v>340</v>
      </c>
      <c r="B177" s="45">
        <v>45110</v>
      </c>
      <c r="C177" s="45" t="str">
        <f t="shared" si="8"/>
        <v>Jul</v>
      </c>
      <c r="D177" s="39" t="s">
        <v>54</v>
      </c>
      <c r="E177" s="39">
        <v>15</v>
      </c>
      <c r="F177" s="46" t="s">
        <v>24</v>
      </c>
      <c r="G177" s="39">
        <v>2579.31</v>
      </c>
      <c r="H177" s="39">
        <v>2867.36</v>
      </c>
      <c r="I177" s="39" t="s">
        <v>25</v>
      </c>
      <c r="J177" s="47">
        <v>0.04</v>
      </c>
      <c r="K177" s="39" t="s">
        <v>40</v>
      </c>
      <c r="L177" s="39" t="s">
        <v>34</v>
      </c>
      <c r="M177" s="39" t="s">
        <v>28</v>
      </c>
      <c r="N177" s="39">
        <f t="shared" si="9"/>
        <v>41289.983999999997</v>
      </c>
      <c r="O177" s="39">
        <f t="shared" si="10"/>
        <v>38689.65</v>
      </c>
      <c r="P177" s="39">
        <f t="shared" si="11"/>
        <v>2600.3339999999953</v>
      </c>
    </row>
    <row r="178" spans="1:16" x14ac:dyDescent="0.35">
      <c r="A178" s="39" t="s">
        <v>342</v>
      </c>
      <c r="B178" s="45">
        <v>44941</v>
      </c>
      <c r="C178" s="45" t="str">
        <f t="shared" si="8"/>
        <v>Jan</v>
      </c>
      <c r="D178" s="39" t="s">
        <v>38</v>
      </c>
      <c r="E178" s="39">
        <v>46</v>
      </c>
      <c r="F178" s="46" t="s">
        <v>24</v>
      </c>
      <c r="G178" s="39">
        <v>2172.38</v>
      </c>
      <c r="H178" s="39">
        <v>2367.11</v>
      </c>
      <c r="I178" s="39" t="s">
        <v>46</v>
      </c>
      <c r="J178" s="47">
        <v>0.16</v>
      </c>
      <c r="K178" s="39" t="s">
        <v>26</v>
      </c>
      <c r="L178" s="39" t="s">
        <v>34</v>
      </c>
      <c r="M178" s="39" t="s">
        <v>28</v>
      </c>
      <c r="N178" s="39">
        <f t="shared" si="9"/>
        <v>91465.130400000009</v>
      </c>
      <c r="O178" s="39">
        <f t="shared" si="10"/>
        <v>99929.48000000001</v>
      </c>
      <c r="P178" s="39">
        <f t="shared" si="11"/>
        <v>-8464.3496000000014</v>
      </c>
    </row>
    <row r="179" spans="1:16" x14ac:dyDescent="0.35">
      <c r="A179" s="39" t="s">
        <v>343</v>
      </c>
      <c r="B179" s="45">
        <v>45083</v>
      </c>
      <c r="C179" s="45" t="str">
        <f t="shared" si="8"/>
        <v>Jun</v>
      </c>
      <c r="D179" s="39" t="s">
        <v>81</v>
      </c>
      <c r="E179" s="39">
        <v>15</v>
      </c>
      <c r="F179" s="46" t="s">
        <v>51</v>
      </c>
      <c r="G179" s="39">
        <v>316.22000000000003</v>
      </c>
      <c r="H179" s="39">
        <v>799.04</v>
      </c>
      <c r="I179" s="39" t="s">
        <v>46</v>
      </c>
      <c r="J179" s="47">
        <v>0</v>
      </c>
      <c r="K179" s="39" t="s">
        <v>40</v>
      </c>
      <c r="L179" s="39" t="s">
        <v>34</v>
      </c>
      <c r="M179" s="39" t="s">
        <v>28</v>
      </c>
      <c r="N179" s="39">
        <f t="shared" si="9"/>
        <v>11985.599999999999</v>
      </c>
      <c r="O179" s="39">
        <f t="shared" si="10"/>
        <v>4743.3</v>
      </c>
      <c r="P179" s="39">
        <f t="shared" si="11"/>
        <v>7242.2999999999984</v>
      </c>
    </row>
    <row r="180" spans="1:16" x14ac:dyDescent="0.35">
      <c r="A180" s="39" t="s">
        <v>344</v>
      </c>
      <c r="B180" s="45">
        <v>45062</v>
      </c>
      <c r="C180" s="45" t="str">
        <f t="shared" si="8"/>
        <v>May</v>
      </c>
      <c r="D180" s="39" t="s">
        <v>32</v>
      </c>
      <c r="E180" s="39">
        <v>46</v>
      </c>
      <c r="F180" s="46" t="s">
        <v>24</v>
      </c>
      <c r="G180" s="39">
        <v>159.32</v>
      </c>
      <c r="H180" s="39">
        <v>303.36</v>
      </c>
      <c r="I180" s="39" t="s">
        <v>46</v>
      </c>
      <c r="J180" s="47">
        <v>0.03</v>
      </c>
      <c r="K180" s="39" t="s">
        <v>26</v>
      </c>
      <c r="L180" s="39" t="s">
        <v>34</v>
      </c>
      <c r="M180" s="39" t="s">
        <v>35</v>
      </c>
      <c r="N180" s="39">
        <f t="shared" si="9"/>
        <v>13535.923200000001</v>
      </c>
      <c r="O180" s="39">
        <f t="shared" si="10"/>
        <v>7328.7199999999993</v>
      </c>
      <c r="P180" s="39">
        <f t="shared" si="11"/>
        <v>6207.2032000000017</v>
      </c>
    </row>
    <row r="181" spans="1:16" x14ac:dyDescent="0.35">
      <c r="A181" s="39" t="s">
        <v>346</v>
      </c>
      <c r="B181" s="45">
        <v>45187</v>
      </c>
      <c r="C181" s="45" t="str">
        <f t="shared" si="8"/>
        <v>Sep</v>
      </c>
      <c r="D181" s="39" t="s">
        <v>81</v>
      </c>
      <c r="E181" s="39">
        <v>25</v>
      </c>
      <c r="F181" s="46" t="s">
        <v>39</v>
      </c>
      <c r="G181" s="39">
        <v>1821.91</v>
      </c>
      <c r="H181" s="39">
        <v>2027.74</v>
      </c>
      <c r="I181" s="39" t="s">
        <v>46</v>
      </c>
      <c r="J181" s="47">
        <v>0.02</v>
      </c>
      <c r="K181" s="39" t="s">
        <v>40</v>
      </c>
      <c r="L181" s="39" t="s">
        <v>27</v>
      </c>
      <c r="M181" s="39" t="s">
        <v>35</v>
      </c>
      <c r="N181" s="39">
        <f t="shared" si="9"/>
        <v>49679.63</v>
      </c>
      <c r="O181" s="39">
        <f t="shared" si="10"/>
        <v>45547.75</v>
      </c>
      <c r="P181" s="39">
        <f t="shared" si="11"/>
        <v>4131.8799999999974</v>
      </c>
    </row>
    <row r="182" spans="1:16" x14ac:dyDescent="0.35">
      <c r="A182" s="39" t="s">
        <v>348</v>
      </c>
      <c r="B182" s="45">
        <v>45083</v>
      </c>
      <c r="C182" s="45" t="str">
        <f t="shared" si="8"/>
        <v>Jun</v>
      </c>
      <c r="D182" s="39" t="s">
        <v>81</v>
      </c>
      <c r="E182" s="39">
        <v>21</v>
      </c>
      <c r="F182" s="46" t="s">
        <v>51</v>
      </c>
      <c r="G182" s="39">
        <v>1701.62</v>
      </c>
      <c r="H182" s="39">
        <v>2193.2199999999998</v>
      </c>
      <c r="I182" s="39" t="s">
        <v>46</v>
      </c>
      <c r="J182" s="47">
        <v>0.22</v>
      </c>
      <c r="K182" s="39" t="s">
        <v>40</v>
      </c>
      <c r="L182" s="39" t="s">
        <v>34</v>
      </c>
      <c r="M182" s="39" t="s">
        <v>41</v>
      </c>
      <c r="N182" s="39">
        <f t="shared" si="9"/>
        <v>35924.943599999999</v>
      </c>
      <c r="O182" s="39">
        <f t="shared" si="10"/>
        <v>35734.019999999997</v>
      </c>
      <c r="P182" s="39">
        <f t="shared" si="11"/>
        <v>190.9236000000019</v>
      </c>
    </row>
    <row r="183" spans="1:16" x14ac:dyDescent="0.35">
      <c r="A183" s="39" t="s">
        <v>350</v>
      </c>
      <c r="B183" s="45">
        <v>44973</v>
      </c>
      <c r="C183" s="45" t="str">
        <f t="shared" si="8"/>
        <v>Feb</v>
      </c>
      <c r="D183" s="39" t="s">
        <v>38</v>
      </c>
      <c r="E183" s="39">
        <v>24</v>
      </c>
      <c r="F183" s="46" t="s">
        <v>51</v>
      </c>
      <c r="G183" s="39">
        <v>1969.09</v>
      </c>
      <c r="H183" s="39">
        <v>2241.96</v>
      </c>
      <c r="I183" s="39" t="s">
        <v>25</v>
      </c>
      <c r="J183" s="47">
        <v>0.02</v>
      </c>
      <c r="K183" s="39" t="s">
        <v>47</v>
      </c>
      <c r="L183" s="39" t="s">
        <v>34</v>
      </c>
      <c r="M183" s="39" t="s">
        <v>41</v>
      </c>
      <c r="N183" s="39">
        <f t="shared" si="9"/>
        <v>52730.8992</v>
      </c>
      <c r="O183" s="39">
        <f t="shared" si="10"/>
        <v>47258.159999999996</v>
      </c>
      <c r="P183" s="39">
        <f t="shared" si="11"/>
        <v>5472.7392000000036</v>
      </c>
    </row>
    <row r="184" spans="1:16" x14ac:dyDescent="0.35">
      <c r="A184" s="39" t="s">
        <v>351</v>
      </c>
      <c r="B184" s="45">
        <v>45250</v>
      </c>
      <c r="C184" s="45" t="str">
        <f t="shared" si="8"/>
        <v>Nov</v>
      </c>
      <c r="D184" s="39" t="s">
        <v>81</v>
      </c>
      <c r="E184" s="39">
        <v>5</v>
      </c>
      <c r="F184" s="46" t="s">
        <v>39</v>
      </c>
      <c r="G184" s="39">
        <v>734.92</v>
      </c>
      <c r="H184" s="39">
        <v>991.21</v>
      </c>
      <c r="I184" s="39" t="s">
        <v>25</v>
      </c>
      <c r="J184" s="47">
        <v>0.21</v>
      </c>
      <c r="K184" s="39" t="s">
        <v>47</v>
      </c>
      <c r="L184" s="39" t="s">
        <v>34</v>
      </c>
      <c r="M184" s="39" t="s">
        <v>28</v>
      </c>
      <c r="N184" s="39">
        <f t="shared" si="9"/>
        <v>3915.2795000000001</v>
      </c>
      <c r="O184" s="39">
        <f t="shared" si="10"/>
        <v>3674.6</v>
      </c>
      <c r="P184" s="39">
        <f t="shared" si="11"/>
        <v>240.67950000000019</v>
      </c>
    </row>
    <row r="185" spans="1:16" x14ac:dyDescent="0.35">
      <c r="A185" s="39" t="s">
        <v>352</v>
      </c>
      <c r="B185" s="45">
        <v>45258</v>
      </c>
      <c r="C185" s="45" t="str">
        <f t="shared" si="8"/>
        <v>Nov</v>
      </c>
      <c r="D185" s="39" t="s">
        <v>54</v>
      </c>
      <c r="E185" s="39">
        <v>6</v>
      </c>
      <c r="F185" s="46" t="s">
        <v>51</v>
      </c>
      <c r="G185" s="39">
        <v>3703.93</v>
      </c>
      <c r="H185" s="39">
        <v>3840.24</v>
      </c>
      <c r="I185" s="39" t="s">
        <v>46</v>
      </c>
      <c r="J185" s="47">
        <v>7.0000000000000007E-2</v>
      </c>
      <c r="K185" s="39" t="s">
        <v>47</v>
      </c>
      <c r="L185" s="39" t="s">
        <v>27</v>
      </c>
      <c r="M185" s="39" t="s">
        <v>35</v>
      </c>
      <c r="N185" s="39">
        <f t="shared" si="9"/>
        <v>21428.539199999996</v>
      </c>
      <c r="O185" s="39">
        <f t="shared" si="10"/>
        <v>22223.579999999998</v>
      </c>
      <c r="P185" s="39">
        <f t="shared" si="11"/>
        <v>-795.04080000000249</v>
      </c>
    </row>
    <row r="186" spans="1:16" x14ac:dyDescent="0.35">
      <c r="A186" s="39" t="s">
        <v>353</v>
      </c>
      <c r="B186" s="45">
        <v>45099</v>
      </c>
      <c r="C186" s="45" t="str">
        <f t="shared" si="8"/>
        <v>Jun</v>
      </c>
      <c r="D186" s="39" t="s">
        <v>54</v>
      </c>
      <c r="E186" s="39">
        <v>49</v>
      </c>
      <c r="F186" s="46" t="s">
        <v>24</v>
      </c>
      <c r="G186" s="39">
        <v>4291.97</v>
      </c>
      <c r="H186" s="39">
        <v>6745.64</v>
      </c>
      <c r="I186" s="39" t="s">
        <v>25</v>
      </c>
      <c r="J186" s="47">
        <v>0.26</v>
      </c>
      <c r="K186" s="39" t="s">
        <v>47</v>
      </c>
      <c r="L186" s="39" t="s">
        <v>27</v>
      </c>
      <c r="M186" s="39" t="s">
        <v>41</v>
      </c>
      <c r="N186" s="39">
        <f t="shared" si="9"/>
        <v>244596.90640000004</v>
      </c>
      <c r="O186" s="39">
        <f t="shared" si="10"/>
        <v>210306.53</v>
      </c>
      <c r="P186" s="39">
        <f t="shared" si="11"/>
        <v>34290.376400000037</v>
      </c>
    </row>
    <row r="187" spans="1:16" x14ac:dyDescent="0.35">
      <c r="A187" s="39" t="s">
        <v>354</v>
      </c>
      <c r="B187" s="45">
        <v>45056</v>
      </c>
      <c r="C187" s="45" t="str">
        <f t="shared" si="8"/>
        <v>May</v>
      </c>
      <c r="D187" s="39" t="s">
        <v>22</v>
      </c>
      <c r="E187" s="39">
        <v>43</v>
      </c>
      <c r="F187" s="46" t="s">
        <v>45</v>
      </c>
      <c r="G187" s="39">
        <v>4696.6400000000003</v>
      </c>
      <c r="H187" s="39">
        <v>5613.68</v>
      </c>
      <c r="I187" s="39" t="s">
        <v>25</v>
      </c>
      <c r="J187" s="47">
        <v>0.15</v>
      </c>
      <c r="K187" s="39" t="s">
        <v>40</v>
      </c>
      <c r="L187" s="39" t="s">
        <v>34</v>
      </c>
      <c r="M187" s="39" t="s">
        <v>35</v>
      </c>
      <c r="N187" s="39">
        <f t="shared" si="9"/>
        <v>205180.00400000002</v>
      </c>
      <c r="O187" s="39">
        <f t="shared" si="10"/>
        <v>201955.52000000002</v>
      </c>
      <c r="P187" s="39">
        <f t="shared" si="11"/>
        <v>3224.4839999999967</v>
      </c>
    </row>
    <row r="188" spans="1:16" x14ac:dyDescent="0.35">
      <c r="A188" s="39" t="s">
        <v>355</v>
      </c>
      <c r="B188" s="45">
        <v>45021</v>
      </c>
      <c r="C188" s="45" t="str">
        <f t="shared" si="8"/>
        <v>Apr</v>
      </c>
      <c r="D188" s="39" t="s">
        <v>32</v>
      </c>
      <c r="E188" s="39">
        <v>48</v>
      </c>
      <c r="F188" s="46" t="s">
        <v>39</v>
      </c>
      <c r="G188" s="39">
        <v>2487.19</v>
      </c>
      <c r="H188" s="39">
        <v>3321.45</v>
      </c>
      <c r="I188" s="39" t="s">
        <v>46</v>
      </c>
      <c r="J188" s="47">
        <v>0.28999999999999998</v>
      </c>
      <c r="K188" s="39" t="s">
        <v>26</v>
      </c>
      <c r="L188" s="39" t="s">
        <v>34</v>
      </c>
      <c r="M188" s="39" t="s">
        <v>35</v>
      </c>
      <c r="N188" s="39">
        <f t="shared" si="9"/>
        <v>113195.01599999997</v>
      </c>
      <c r="O188" s="39">
        <f t="shared" si="10"/>
        <v>119385.12</v>
      </c>
      <c r="P188" s="39">
        <f t="shared" si="11"/>
        <v>-6190.1040000000212</v>
      </c>
    </row>
    <row r="189" spans="1:16" x14ac:dyDescent="0.35">
      <c r="A189" s="39" t="s">
        <v>356</v>
      </c>
      <c r="B189" s="45">
        <v>45041</v>
      </c>
      <c r="C189" s="45" t="str">
        <f t="shared" si="8"/>
        <v>Apr</v>
      </c>
      <c r="D189" s="39" t="s">
        <v>81</v>
      </c>
      <c r="E189" s="39">
        <v>44</v>
      </c>
      <c r="F189" s="46" t="s">
        <v>24</v>
      </c>
      <c r="G189" s="39">
        <v>3519.29</v>
      </c>
      <c r="H189" s="39">
        <v>4822.9799999999996</v>
      </c>
      <c r="I189" s="39" t="s">
        <v>25</v>
      </c>
      <c r="J189" s="47">
        <v>0.27</v>
      </c>
      <c r="K189" s="39" t="s">
        <v>40</v>
      </c>
      <c r="L189" s="39" t="s">
        <v>27</v>
      </c>
      <c r="M189" s="39" t="s">
        <v>28</v>
      </c>
      <c r="N189" s="39">
        <f t="shared" si="9"/>
        <v>154914.1176</v>
      </c>
      <c r="O189" s="39">
        <f t="shared" si="10"/>
        <v>154848.76</v>
      </c>
      <c r="P189" s="39">
        <f t="shared" si="11"/>
        <v>65.357599999988452</v>
      </c>
    </row>
    <row r="190" spans="1:16" x14ac:dyDescent="0.35">
      <c r="A190" s="39" t="s">
        <v>357</v>
      </c>
      <c r="B190" s="45">
        <v>45169</v>
      </c>
      <c r="C190" s="45" t="str">
        <f t="shared" si="8"/>
        <v>Aug</v>
      </c>
      <c r="D190" s="39" t="s">
        <v>81</v>
      </c>
      <c r="E190" s="39">
        <v>47</v>
      </c>
      <c r="F190" s="46" t="s">
        <v>39</v>
      </c>
      <c r="G190" s="39">
        <v>4284.9799999999996</v>
      </c>
      <c r="H190" s="39">
        <v>5862.4</v>
      </c>
      <c r="I190" s="39" t="s">
        <v>46</v>
      </c>
      <c r="J190" s="47">
        <v>0.28000000000000003</v>
      </c>
      <c r="K190" s="39" t="s">
        <v>47</v>
      </c>
      <c r="L190" s="39" t="s">
        <v>27</v>
      </c>
      <c r="M190" s="39" t="s">
        <v>28</v>
      </c>
      <c r="N190" s="39">
        <f t="shared" si="9"/>
        <v>198383.61599999998</v>
      </c>
      <c r="O190" s="39">
        <f t="shared" si="10"/>
        <v>201394.05999999997</v>
      </c>
      <c r="P190" s="39">
        <f t="shared" si="11"/>
        <v>-3010.4439999999886</v>
      </c>
    </row>
    <row r="191" spans="1:16" x14ac:dyDescent="0.35">
      <c r="A191" s="39" t="s">
        <v>358</v>
      </c>
      <c r="B191" s="45">
        <v>45218</v>
      </c>
      <c r="C191" s="45" t="str">
        <f t="shared" si="8"/>
        <v>Oct</v>
      </c>
      <c r="D191" s="39" t="s">
        <v>38</v>
      </c>
      <c r="E191" s="39">
        <v>23</v>
      </c>
      <c r="F191" s="46" t="s">
        <v>39</v>
      </c>
      <c r="G191" s="39">
        <v>2120.54</v>
      </c>
      <c r="H191" s="39">
        <v>2597.67</v>
      </c>
      <c r="I191" s="39" t="s">
        <v>25</v>
      </c>
      <c r="J191" s="47">
        <v>0.26</v>
      </c>
      <c r="K191" s="39" t="s">
        <v>47</v>
      </c>
      <c r="L191" s="39" t="s">
        <v>27</v>
      </c>
      <c r="M191" s="39" t="s">
        <v>35</v>
      </c>
      <c r="N191" s="39">
        <f t="shared" si="9"/>
        <v>44212.343400000005</v>
      </c>
      <c r="O191" s="39">
        <f t="shared" si="10"/>
        <v>48772.42</v>
      </c>
      <c r="P191" s="39">
        <f t="shared" si="11"/>
        <v>-4560.0765999999931</v>
      </c>
    </row>
    <row r="192" spans="1:16" x14ac:dyDescent="0.35">
      <c r="A192" s="39" t="s">
        <v>360</v>
      </c>
      <c r="B192" s="45">
        <v>45208</v>
      </c>
      <c r="C192" s="45" t="str">
        <f t="shared" si="8"/>
        <v>Oct</v>
      </c>
      <c r="D192" s="39" t="s">
        <v>54</v>
      </c>
      <c r="E192" s="39">
        <v>4</v>
      </c>
      <c r="F192" s="46" t="s">
        <v>51</v>
      </c>
      <c r="G192" s="39">
        <v>1581.59</v>
      </c>
      <c r="H192" s="39">
        <v>2034.15</v>
      </c>
      <c r="I192" s="39" t="s">
        <v>25</v>
      </c>
      <c r="J192" s="47">
        <v>0.21</v>
      </c>
      <c r="K192" s="39" t="s">
        <v>26</v>
      </c>
      <c r="L192" s="39" t="s">
        <v>27</v>
      </c>
      <c r="M192" s="39" t="s">
        <v>35</v>
      </c>
      <c r="N192" s="39">
        <f t="shared" si="9"/>
        <v>6427.9140000000007</v>
      </c>
      <c r="O192" s="39">
        <f t="shared" si="10"/>
        <v>6326.36</v>
      </c>
      <c r="P192" s="39">
        <f t="shared" si="11"/>
        <v>101.554000000001</v>
      </c>
    </row>
    <row r="193" spans="1:16" x14ac:dyDescent="0.35">
      <c r="A193" s="39" t="s">
        <v>361</v>
      </c>
      <c r="B193" s="45">
        <v>45225</v>
      </c>
      <c r="C193" s="45" t="str">
        <f t="shared" si="8"/>
        <v>Oct</v>
      </c>
      <c r="D193" s="39" t="s">
        <v>32</v>
      </c>
      <c r="E193" s="39">
        <v>27</v>
      </c>
      <c r="F193" s="46" t="s">
        <v>51</v>
      </c>
      <c r="G193" s="39">
        <v>4686.79</v>
      </c>
      <c r="H193" s="39">
        <v>5046.51</v>
      </c>
      <c r="I193" s="39" t="s">
        <v>25</v>
      </c>
      <c r="J193" s="47">
        <v>0.05</v>
      </c>
      <c r="K193" s="39" t="s">
        <v>47</v>
      </c>
      <c r="L193" s="39" t="s">
        <v>27</v>
      </c>
      <c r="M193" s="39" t="s">
        <v>35</v>
      </c>
      <c r="N193" s="39">
        <f t="shared" si="9"/>
        <v>129442.98150000001</v>
      </c>
      <c r="O193" s="39">
        <f t="shared" si="10"/>
        <v>126543.33</v>
      </c>
      <c r="P193" s="39">
        <f t="shared" si="11"/>
        <v>2899.6515000000072</v>
      </c>
    </row>
    <row r="194" spans="1:16" x14ac:dyDescent="0.35">
      <c r="A194" s="39" t="s">
        <v>362</v>
      </c>
      <c r="B194" s="45">
        <v>45209</v>
      </c>
      <c r="C194" s="45" t="str">
        <f t="shared" si="8"/>
        <v>Oct</v>
      </c>
      <c r="D194" s="39" t="s">
        <v>22</v>
      </c>
      <c r="E194" s="39">
        <v>18</v>
      </c>
      <c r="F194" s="46" t="s">
        <v>24</v>
      </c>
      <c r="G194" s="39">
        <v>2602.6</v>
      </c>
      <c r="H194" s="39">
        <v>3013.49</v>
      </c>
      <c r="I194" s="39" t="s">
        <v>25</v>
      </c>
      <c r="J194" s="47">
        <v>0.08</v>
      </c>
      <c r="K194" s="39" t="s">
        <v>40</v>
      </c>
      <c r="L194" s="39" t="s">
        <v>27</v>
      </c>
      <c r="M194" s="39" t="s">
        <v>35</v>
      </c>
      <c r="N194" s="39">
        <f t="shared" si="9"/>
        <v>49903.394399999997</v>
      </c>
      <c r="O194" s="39">
        <f t="shared" si="10"/>
        <v>46846.799999999996</v>
      </c>
      <c r="P194" s="39">
        <f t="shared" si="11"/>
        <v>3056.5944000000018</v>
      </c>
    </row>
    <row r="195" spans="1:16" x14ac:dyDescent="0.35">
      <c r="A195" s="39" t="s">
        <v>363</v>
      </c>
      <c r="B195" s="45">
        <v>44995</v>
      </c>
      <c r="C195" s="45" t="str">
        <f t="shared" ref="C195:C258" si="12">TEXT(B195,"mmm")</f>
        <v>Mar</v>
      </c>
      <c r="D195" s="39" t="s">
        <v>54</v>
      </c>
      <c r="E195" s="39">
        <v>21</v>
      </c>
      <c r="F195" s="46" t="s">
        <v>39</v>
      </c>
      <c r="G195" s="39">
        <v>2511.41</v>
      </c>
      <c r="H195" s="39">
        <v>2848.4</v>
      </c>
      <c r="I195" s="39" t="s">
        <v>25</v>
      </c>
      <c r="J195" s="47">
        <v>0.06</v>
      </c>
      <c r="K195" s="39" t="s">
        <v>40</v>
      </c>
      <c r="L195" s="39" t="s">
        <v>27</v>
      </c>
      <c r="M195" s="39" t="s">
        <v>28</v>
      </c>
      <c r="N195" s="39">
        <f t="shared" ref="N195:N258" si="13">E195*H195*(1-J195)</f>
        <v>56227.415999999997</v>
      </c>
      <c r="O195" s="39">
        <f t="shared" ref="O195:O258" si="14">G195*E195</f>
        <v>52739.61</v>
      </c>
      <c r="P195" s="39">
        <f t="shared" ref="P195:P258" si="15">N195-O195</f>
        <v>3487.8059999999969</v>
      </c>
    </row>
    <row r="196" spans="1:16" x14ac:dyDescent="0.35">
      <c r="A196" s="39" t="s">
        <v>364</v>
      </c>
      <c r="B196" s="45">
        <v>45074</v>
      </c>
      <c r="C196" s="45" t="str">
        <f t="shared" si="12"/>
        <v>May</v>
      </c>
      <c r="D196" s="39" t="s">
        <v>22</v>
      </c>
      <c r="E196" s="39">
        <v>28</v>
      </c>
      <c r="F196" s="46" t="s">
        <v>51</v>
      </c>
      <c r="G196" s="39">
        <v>933.16</v>
      </c>
      <c r="H196" s="39">
        <v>1004.7</v>
      </c>
      <c r="I196" s="39" t="s">
        <v>25</v>
      </c>
      <c r="J196" s="47">
        <v>0.18</v>
      </c>
      <c r="K196" s="39" t="s">
        <v>40</v>
      </c>
      <c r="L196" s="39" t="s">
        <v>27</v>
      </c>
      <c r="M196" s="39" t="s">
        <v>41</v>
      </c>
      <c r="N196" s="39">
        <f t="shared" si="13"/>
        <v>23067.912000000004</v>
      </c>
      <c r="O196" s="39">
        <f t="shared" si="14"/>
        <v>26128.48</v>
      </c>
      <c r="P196" s="39">
        <f t="shared" si="15"/>
        <v>-3060.5679999999957</v>
      </c>
    </row>
    <row r="197" spans="1:16" x14ac:dyDescent="0.35">
      <c r="A197" s="39" t="s">
        <v>365</v>
      </c>
      <c r="B197" s="45">
        <v>44937</v>
      </c>
      <c r="C197" s="45" t="str">
        <f t="shared" si="12"/>
        <v>Jan</v>
      </c>
      <c r="D197" s="39" t="s">
        <v>38</v>
      </c>
      <c r="E197" s="39">
        <v>35</v>
      </c>
      <c r="F197" s="46" t="s">
        <v>51</v>
      </c>
      <c r="G197" s="39">
        <v>585.37</v>
      </c>
      <c r="H197" s="39">
        <v>970.49</v>
      </c>
      <c r="I197" s="39" t="s">
        <v>25</v>
      </c>
      <c r="J197" s="47">
        <v>0.15</v>
      </c>
      <c r="K197" s="39" t="s">
        <v>40</v>
      </c>
      <c r="L197" s="39" t="s">
        <v>34</v>
      </c>
      <c r="M197" s="39" t="s">
        <v>28</v>
      </c>
      <c r="N197" s="39">
        <f t="shared" si="13"/>
        <v>28872.077499999999</v>
      </c>
      <c r="O197" s="39">
        <f t="shared" si="14"/>
        <v>20487.95</v>
      </c>
      <c r="P197" s="39">
        <f t="shared" si="15"/>
        <v>8384.1274999999987</v>
      </c>
    </row>
    <row r="198" spans="1:16" x14ac:dyDescent="0.35">
      <c r="A198" s="39" t="s">
        <v>366</v>
      </c>
      <c r="B198" s="45">
        <v>45180</v>
      </c>
      <c r="C198" s="45" t="str">
        <f t="shared" si="12"/>
        <v>Sep</v>
      </c>
      <c r="D198" s="39" t="s">
        <v>38</v>
      </c>
      <c r="E198" s="39">
        <v>22</v>
      </c>
      <c r="F198" s="46" t="s">
        <v>39</v>
      </c>
      <c r="G198" s="39">
        <v>4218.43</v>
      </c>
      <c r="H198" s="39">
        <v>5331.42</v>
      </c>
      <c r="I198" s="39" t="s">
        <v>46</v>
      </c>
      <c r="J198" s="47">
        <v>0.26</v>
      </c>
      <c r="K198" s="39" t="s">
        <v>40</v>
      </c>
      <c r="L198" s="39" t="s">
        <v>34</v>
      </c>
      <c r="M198" s="39" t="s">
        <v>41</v>
      </c>
      <c r="N198" s="39">
        <f t="shared" si="13"/>
        <v>86795.517600000006</v>
      </c>
      <c r="O198" s="39">
        <f t="shared" si="14"/>
        <v>92805.46</v>
      </c>
      <c r="P198" s="39">
        <f t="shared" si="15"/>
        <v>-6009.9423999999999</v>
      </c>
    </row>
    <row r="199" spans="1:16" x14ac:dyDescent="0.35">
      <c r="A199" s="39" t="s">
        <v>367</v>
      </c>
      <c r="B199" s="45">
        <v>45256</v>
      </c>
      <c r="C199" s="45" t="str">
        <f t="shared" si="12"/>
        <v>Nov</v>
      </c>
      <c r="D199" s="39" t="s">
        <v>81</v>
      </c>
      <c r="E199" s="39">
        <v>40</v>
      </c>
      <c r="F199" s="46" t="s">
        <v>24</v>
      </c>
      <c r="G199" s="39">
        <v>3089.96</v>
      </c>
      <c r="H199" s="39">
        <v>4058.45</v>
      </c>
      <c r="I199" s="39" t="s">
        <v>46</v>
      </c>
      <c r="J199" s="47">
        <v>0.28999999999999998</v>
      </c>
      <c r="K199" s="39" t="s">
        <v>26</v>
      </c>
      <c r="L199" s="39" t="s">
        <v>34</v>
      </c>
      <c r="M199" s="39" t="s">
        <v>35</v>
      </c>
      <c r="N199" s="39">
        <f t="shared" si="13"/>
        <v>115259.98</v>
      </c>
      <c r="O199" s="39">
        <f t="shared" si="14"/>
        <v>123598.39999999999</v>
      </c>
      <c r="P199" s="39">
        <f t="shared" si="15"/>
        <v>-8338.4199999999983</v>
      </c>
    </row>
    <row r="200" spans="1:16" x14ac:dyDescent="0.35">
      <c r="A200" s="39" t="s">
        <v>369</v>
      </c>
      <c r="B200" s="45">
        <v>45286</v>
      </c>
      <c r="C200" s="45" t="str">
        <f t="shared" si="12"/>
        <v>Dec</v>
      </c>
      <c r="D200" s="39" t="s">
        <v>32</v>
      </c>
      <c r="E200" s="39">
        <v>23</v>
      </c>
      <c r="F200" s="46" t="s">
        <v>24</v>
      </c>
      <c r="G200" s="39">
        <v>1662.83</v>
      </c>
      <c r="H200" s="39">
        <v>2074.25</v>
      </c>
      <c r="I200" s="39" t="s">
        <v>46</v>
      </c>
      <c r="J200" s="47">
        <v>0.12</v>
      </c>
      <c r="K200" s="39" t="s">
        <v>40</v>
      </c>
      <c r="L200" s="39" t="s">
        <v>34</v>
      </c>
      <c r="M200" s="39" t="s">
        <v>41</v>
      </c>
      <c r="N200" s="39">
        <f t="shared" si="13"/>
        <v>41982.82</v>
      </c>
      <c r="O200" s="39">
        <f t="shared" si="14"/>
        <v>38245.089999999997</v>
      </c>
      <c r="P200" s="39">
        <f t="shared" si="15"/>
        <v>3737.7300000000032</v>
      </c>
    </row>
    <row r="201" spans="1:16" x14ac:dyDescent="0.35">
      <c r="A201" s="39" t="s">
        <v>370</v>
      </c>
      <c r="B201" s="45">
        <v>44964</v>
      </c>
      <c r="C201" s="45" t="str">
        <f t="shared" si="12"/>
        <v>Feb</v>
      </c>
      <c r="D201" s="39" t="s">
        <v>22</v>
      </c>
      <c r="E201" s="39">
        <v>3</v>
      </c>
      <c r="F201" s="46" t="s">
        <v>39</v>
      </c>
      <c r="G201" s="39">
        <v>999.09</v>
      </c>
      <c r="H201" s="39">
        <v>1271.99</v>
      </c>
      <c r="I201" s="39" t="s">
        <v>46</v>
      </c>
      <c r="J201" s="47">
        <v>0.15</v>
      </c>
      <c r="K201" s="39" t="s">
        <v>47</v>
      </c>
      <c r="L201" s="39" t="s">
        <v>34</v>
      </c>
      <c r="M201" s="39" t="s">
        <v>28</v>
      </c>
      <c r="N201" s="39">
        <f t="shared" si="13"/>
        <v>3243.5745000000002</v>
      </c>
      <c r="O201" s="39">
        <f t="shared" si="14"/>
        <v>2997.27</v>
      </c>
      <c r="P201" s="39">
        <f t="shared" si="15"/>
        <v>246.30450000000019</v>
      </c>
    </row>
    <row r="202" spans="1:16" x14ac:dyDescent="0.35">
      <c r="A202" s="39" t="s">
        <v>371</v>
      </c>
      <c r="B202" s="45">
        <v>45060</v>
      </c>
      <c r="C202" s="45" t="str">
        <f t="shared" si="12"/>
        <v>May</v>
      </c>
      <c r="D202" s="39" t="s">
        <v>54</v>
      </c>
      <c r="E202" s="39">
        <v>40</v>
      </c>
      <c r="F202" s="46" t="s">
        <v>24</v>
      </c>
      <c r="G202" s="39">
        <v>2799.71</v>
      </c>
      <c r="H202" s="39">
        <v>4231.08</v>
      </c>
      <c r="I202" s="39" t="s">
        <v>25</v>
      </c>
      <c r="J202" s="47">
        <v>0.28999999999999998</v>
      </c>
      <c r="K202" s="39" t="s">
        <v>47</v>
      </c>
      <c r="L202" s="39" t="s">
        <v>34</v>
      </c>
      <c r="M202" s="39" t="s">
        <v>28</v>
      </c>
      <c r="N202" s="39">
        <f t="shared" si="13"/>
        <v>120162.67200000001</v>
      </c>
      <c r="O202" s="39">
        <f t="shared" si="14"/>
        <v>111988.4</v>
      </c>
      <c r="P202" s="39">
        <f t="shared" si="15"/>
        <v>8174.2720000000118</v>
      </c>
    </row>
    <row r="203" spans="1:16" x14ac:dyDescent="0.35">
      <c r="A203" s="39" t="s">
        <v>372</v>
      </c>
      <c r="B203" s="45">
        <v>45126</v>
      </c>
      <c r="C203" s="45" t="str">
        <f t="shared" si="12"/>
        <v>Jul</v>
      </c>
      <c r="D203" s="39" t="s">
        <v>38</v>
      </c>
      <c r="E203" s="39">
        <v>10</v>
      </c>
      <c r="F203" s="46" t="s">
        <v>51</v>
      </c>
      <c r="G203" s="39">
        <v>2940.4</v>
      </c>
      <c r="H203" s="39">
        <v>3054.79</v>
      </c>
      <c r="I203" s="39" t="s">
        <v>25</v>
      </c>
      <c r="J203" s="47">
        <v>0.08</v>
      </c>
      <c r="K203" s="39" t="s">
        <v>47</v>
      </c>
      <c r="L203" s="39" t="s">
        <v>27</v>
      </c>
      <c r="M203" s="39" t="s">
        <v>35</v>
      </c>
      <c r="N203" s="39">
        <f t="shared" si="13"/>
        <v>28104.068000000003</v>
      </c>
      <c r="O203" s="39">
        <f t="shared" si="14"/>
        <v>29404</v>
      </c>
      <c r="P203" s="39">
        <f t="shared" si="15"/>
        <v>-1299.9319999999971</v>
      </c>
    </row>
    <row r="204" spans="1:16" x14ac:dyDescent="0.35">
      <c r="A204" s="39" t="s">
        <v>373</v>
      </c>
      <c r="B204" s="45">
        <v>44949</v>
      </c>
      <c r="C204" s="45" t="str">
        <f t="shared" si="12"/>
        <v>Jan</v>
      </c>
      <c r="D204" s="39" t="s">
        <v>81</v>
      </c>
      <c r="E204" s="39">
        <v>25</v>
      </c>
      <c r="F204" s="46" t="s">
        <v>39</v>
      </c>
      <c r="G204" s="39">
        <v>1074.6199999999999</v>
      </c>
      <c r="H204" s="39">
        <v>1382.43</v>
      </c>
      <c r="I204" s="39" t="s">
        <v>25</v>
      </c>
      <c r="J204" s="47">
        <v>0.24</v>
      </c>
      <c r="K204" s="39" t="s">
        <v>47</v>
      </c>
      <c r="L204" s="39" t="s">
        <v>27</v>
      </c>
      <c r="M204" s="39" t="s">
        <v>28</v>
      </c>
      <c r="N204" s="39">
        <f t="shared" si="13"/>
        <v>26266.170000000002</v>
      </c>
      <c r="O204" s="39">
        <f t="shared" si="14"/>
        <v>26865.499999999996</v>
      </c>
      <c r="P204" s="39">
        <f t="shared" si="15"/>
        <v>-599.32999999999447</v>
      </c>
    </row>
    <row r="205" spans="1:16" x14ac:dyDescent="0.35">
      <c r="A205" s="39" t="s">
        <v>375</v>
      </c>
      <c r="B205" s="45">
        <v>45229</v>
      </c>
      <c r="C205" s="45" t="str">
        <f t="shared" si="12"/>
        <v>Oct</v>
      </c>
      <c r="D205" s="39" t="s">
        <v>81</v>
      </c>
      <c r="E205" s="39">
        <v>49</v>
      </c>
      <c r="F205" s="46" t="s">
        <v>51</v>
      </c>
      <c r="G205" s="39">
        <v>4264.46</v>
      </c>
      <c r="H205" s="39">
        <v>4315.5200000000004</v>
      </c>
      <c r="I205" s="39" t="s">
        <v>46</v>
      </c>
      <c r="J205" s="47">
        <v>7.0000000000000007E-2</v>
      </c>
      <c r="K205" s="39" t="s">
        <v>26</v>
      </c>
      <c r="L205" s="39" t="s">
        <v>34</v>
      </c>
      <c r="M205" s="39" t="s">
        <v>35</v>
      </c>
      <c r="N205" s="39">
        <f t="shared" si="13"/>
        <v>196658.2464</v>
      </c>
      <c r="O205" s="39">
        <f t="shared" si="14"/>
        <v>208958.54</v>
      </c>
      <c r="P205" s="39">
        <f t="shared" si="15"/>
        <v>-12300.293600000005</v>
      </c>
    </row>
    <row r="206" spans="1:16" x14ac:dyDescent="0.35">
      <c r="A206" s="39" t="s">
        <v>376</v>
      </c>
      <c r="B206" s="45">
        <v>45272</v>
      </c>
      <c r="C206" s="45" t="str">
        <f t="shared" si="12"/>
        <v>Dec</v>
      </c>
      <c r="D206" s="39" t="s">
        <v>22</v>
      </c>
      <c r="E206" s="39">
        <v>8</v>
      </c>
      <c r="F206" s="46" t="s">
        <v>45</v>
      </c>
      <c r="G206" s="39">
        <v>467.11</v>
      </c>
      <c r="H206" s="39">
        <v>792.21</v>
      </c>
      <c r="I206" s="39" t="s">
        <v>46</v>
      </c>
      <c r="J206" s="47">
        <v>0.2</v>
      </c>
      <c r="K206" s="39" t="s">
        <v>47</v>
      </c>
      <c r="L206" s="39" t="s">
        <v>34</v>
      </c>
      <c r="M206" s="39" t="s">
        <v>28</v>
      </c>
      <c r="N206" s="39">
        <f t="shared" si="13"/>
        <v>5070.1440000000002</v>
      </c>
      <c r="O206" s="39">
        <f t="shared" si="14"/>
        <v>3736.88</v>
      </c>
      <c r="P206" s="39">
        <f t="shared" si="15"/>
        <v>1333.2640000000001</v>
      </c>
    </row>
    <row r="207" spans="1:16" x14ac:dyDescent="0.35">
      <c r="A207" s="39" t="s">
        <v>377</v>
      </c>
      <c r="B207" s="45">
        <v>45228</v>
      </c>
      <c r="C207" s="45" t="str">
        <f t="shared" si="12"/>
        <v>Oct</v>
      </c>
      <c r="D207" s="39" t="s">
        <v>38</v>
      </c>
      <c r="E207" s="39">
        <v>11</v>
      </c>
      <c r="F207" s="46" t="s">
        <v>45</v>
      </c>
      <c r="G207" s="39">
        <v>1812.66</v>
      </c>
      <c r="H207" s="39">
        <v>2196.3000000000002</v>
      </c>
      <c r="I207" s="39" t="s">
        <v>46</v>
      </c>
      <c r="J207" s="47">
        <v>0.08</v>
      </c>
      <c r="K207" s="39" t="s">
        <v>26</v>
      </c>
      <c r="L207" s="39" t="s">
        <v>27</v>
      </c>
      <c r="M207" s="39" t="s">
        <v>28</v>
      </c>
      <c r="N207" s="39">
        <f t="shared" si="13"/>
        <v>22226.556000000004</v>
      </c>
      <c r="O207" s="39">
        <f t="shared" si="14"/>
        <v>19939.260000000002</v>
      </c>
      <c r="P207" s="39">
        <f t="shared" si="15"/>
        <v>2287.2960000000021</v>
      </c>
    </row>
    <row r="208" spans="1:16" x14ac:dyDescent="0.35">
      <c r="A208" s="39" t="s">
        <v>378</v>
      </c>
      <c r="B208" s="45">
        <v>45289</v>
      </c>
      <c r="C208" s="45" t="str">
        <f t="shared" si="12"/>
        <v>Dec</v>
      </c>
      <c r="D208" s="39" t="s">
        <v>32</v>
      </c>
      <c r="E208" s="39">
        <v>5</v>
      </c>
      <c r="F208" s="46" t="s">
        <v>24</v>
      </c>
      <c r="G208" s="39">
        <v>3417.9</v>
      </c>
      <c r="H208" s="39">
        <v>3714.52</v>
      </c>
      <c r="I208" s="39" t="s">
        <v>25</v>
      </c>
      <c r="J208" s="47">
        <v>0.27</v>
      </c>
      <c r="K208" s="39" t="s">
        <v>47</v>
      </c>
      <c r="L208" s="39" t="s">
        <v>27</v>
      </c>
      <c r="M208" s="39" t="s">
        <v>35</v>
      </c>
      <c r="N208" s="39">
        <f t="shared" si="13"/>
        <v>13557.997999999998</v>
      </c>
      <c r="O208" s="39">
        <f t="shared" si="14"/>
        <v>17089.5</v>
      </c>
      <c r="P208" s="39">
        <f t="shared" si="15"/>
        <v>-3531.5020000000022</v>
      </c>
    </row>
    <row r="209" spans="1:16" x14ac:dyDescent="0.35">
      <c r="A209" s="39" t="s">
        <v>379</v>
      </c>
      <c r="B209" s="45">
        <v>45144</v>
      </c>
      <c r="C209" s="45" t="str">
        <f t="shared" si="12"/>
        <v>Aug</v>
      </c>
      <c r="D209" s="39" t="s">
        <v>38</v>
      </c>
      <c r="E209" s="39">
        <v>45</v>
      </c>
      <c r="F209" s="46" t="s">
        <v>45</v>
      </c>
      <c r="G209" s="39">
        <v>1406.9</v>
      </c>
      <c r="H209" s="39">
        <v>1547.35</v>
      </c>
      <c r="I209" s="39" t="s">
        <v>46</v>
      </c>
      <c r="J209" s="47">
        <v>0.17</v>
      </c>
      <c r="K209" s="39" t="s">
        <v>26</v>
      </c>
      <c r="L209" s="39" t="s">
        <v>27</v>
      </c>
      <c r="M209" s="39" t="s">
        <v>41</v>
      </c>
      <c r="N209" s="39">
        <f t="shared" si="13"/>
        <v>57793.522499999999</v>
      </c>
      <c r="O209" s="39">
        <f t="shared" si="14"/>
        <v>63310.500000000007</v>
      </c>
      <c r="P209" s="39">
        <f t="shared" si="15"/>
        <v>-5516.9775000000081</v>
      </c>
    </row>
    <row r="210" spans="1:16" x14ac:dyDescent="0.35">
      <c r="A210" s="39" t="s">
        <v>381</v>
      </c>
      <c r="B210" s="45">
        <v>45067</v>
      </c>
      <c r="C210" s="45" t="str">
        <f t="shared" si="12"/>
        <v>May</v>
      </c>
      <c r="D210" s="39" t="s">
        <v>22</v>
      </c>
      <c r="E210" s="39">
        <v>37</v>
      </c>
      <c r="F210" s="46" t="s">
        <v>51</v>
      </c>
      <c r="G210" s="39">
        <v>4146.99</v>
      </c>
      <c r="H210" s="39">
        <v>4172.3500000000004</v>
      </c>
      <c r="I210" s="39" t="s">
        <v>25</v>
      </c>
      <c r="J210" s="47">
        <v>0.06</v>
      </c>
      <c r="K210" s="39" t="s">
        <v>26</v>
      </c>
      <c r="L210" s="39" t="s">
        <v>34</v>
      </c>
      <c r="M210" s="39" t="s">
        <v>28</v>
      </c>
      <c r="N210" s="39">
        <f t="shared" si="13"/>
        <v>145114.33300000001</v>
      </c>
      <c r="O210" s="39">
        <f t="shared" si="14"/>
        <v>153438.63</v>
      </c>
      <c r="P210" s="39">
        <f t="shared" si="15"/>
        <v>-8324.2969999999914</v>
      </c>
    </row>
    <row r="211" spans="1:16" x14ac:dyDescent="0.35">
      <c r="A211" s="39" t="s">
        <v>383</v>
      </c>
      <c r="B211" s="45">
        <v>45030</v>
      </c>
      <c r="C211" s="45" t="str">
        <f t="shared" si="12"/>
        <v>Apr</v>
      </c>
      <c r="D211" s="39" t="s">
        <v>22</v>
      </c>
      <c r="E211" s="39">
        <v>45</v>
      </c>
      <c r="F211" s="46" t="s">
        <v>45</v>
      </c>
      <c r="G211" s="39">
        <v>3712.35</v>
      </c>
      <c r="H211" s="39">
        <v>3780.88</v>
      </c>
      <c r="I211" s="39" t="s">
        <v>46</v>
      </c>
      <c r="J211" s="47">
        <v>7.0000000000000007E-2</v>
      </c>
      <c r="K211" s="39" t="s">
        <v>26</v>
      </c>
      <c r="L211" s="39" t="s">
        <v>27</v>
      </c>
      <c r="M211" s="39" t="s">
        <v>41</v>
      </c>
      <c r="N211" s="39">
        <f t="shared" si="13"/>
        <v>158229.82800000001</v>
      </c>
      <c r="O211" s="39">
        <f t="shared" si="14"/>
        <v>167055.75</v>
      </c>
      <c r="P211" s="39">
        <f t="shared" si="15"/>
        <v>-8825.9219999999914</v>
      </c>
    </row>
    <row r="212" spans="1:16" x14ac:dyDescent="0.35">
      <c r="A212" s="39" t="s">
        <v>384</v>
      </c>
      <c r="B212" s="45">
        <v>45136</v>
      </c>
      <c r="C212" s="45" t="str">
        <f t="shared" si="12"/>
        <v>Jul</v>
      </c>
      <c r="D212" s="39" t="s">
        <v>38</v>
      </c>
      <c r="E212" s="39">
        <v>38</v>
      </c>
      <c r="F212" s="46" t="s">
        <v>51</v>
      </c>
      <c r="G212" s="39">
        <v>3955.66</v>
      </c>
      <c r="H212" s="39">
        <v>4270.59</v>
      </c>
      <c r="I212" s="39" t="s">
        <v>25</v>
      </c>
      <c r="J212" s="47">
        <v>0.15</v>
      </c>
      <c r="K212" s="39" t="s">
        <v>47</v>
      </c>
      <c r="L212" s="39" t="s">
        <v>34</v>
      </c>
      <c r="M212" s="39" t="s">
        <v>28</v>
      </c>
      <c r="N212" s="39">
        <f t="shared" si="13"/>
        <v>137940.057</v>
      </c>
      <c r="O212" s="39">
        <f t="shared" si="14"/>
        <v>150315.07999999999</v>
      </c>
      <c r="P212" s="39">
        <f t="shared" si="15"/>
        <v>-12375.022999999986</v>
      </c>
    </row>
    <row r="213" spans="1:16" x14ac:dyDescent="0.35">
      <c r="A213" s="39" t="s">
        <v>385</v>
      </c>
      <c r="B213" s="45">
        <v>45037</v>
      </c>
      <c r="C213" s="45" t="str">
        <f t="shared" si="12"/>
        <v>Apr</v>
      </c>
      <c r="D213" s="39" t="s">
        <v>22</v>
      </c>
      <c r="E213" s="39">
        <v>29</v>
      </c>
      <c r="F213" s="46" t="s">
        <v>24</v>
      </c>
      <c r="G213" s="39">
        <v>639.58000000000004</v>
      </c>
      <c r="H213" s="39">
        <v>1107.45</v>
      </c>
      <c r="I213" s="39" t="s">
        <v>46</v>
      </c>
      <c r="J213" s="47">
        <v>0.28999999999999998</v>
      </c>
      <c r="K213" s="39" t="s">
        <v>26</v>
      </c>
      <c r="L213" s="39" t="s">
        <v>34</v>
      </c>
      <c r="M213" s="39" t="s">
        <v>28</v>
      </c>
      <c r="N213" s="39">
        <f t="shared" si="13"/>
        <v>22802.395500000002</v>
      </c>
      <c r="O213" s="39">
        <f t="shared" si="14"/>
        <v>18547.82</v>
      </c>
      <c r="P213" s="39">
        <f t="shared" si="15"/>
        <v>4254.5755000000026</v>
      </c>
    </row>
    <row r="214" spans="1:16" x14ac:dyDescent="0.35">
      <c r="A214" s="39" t="s">
        <v>387</v>
      </c>
      <c r="B214" s="45">
        <v>45030</v>
      </c>
      <c r="C214" s="45" t="str">
        <f t="shared" si="12"/>
        <v>Apr</v>
      </c>
      <c r="D214" s="39" t="s">
        <v>38</v>
      </c>
      <c r="E214" s="39">
        <v>5</v>
      </c>
      <c r="F214" s="46" t="s">
        <v>24</v>
      </c>
      <c r="G214" s="39">
        <v>745.71</v>
      </c>
      <c r="H214" s="39">
        <v>856.91</v>
      </c>
      <c r="I214" s="39" t="s">
        <v>25</v>
      </c>
      <c r="J214" s="47">
        <v>0.23</v>
      </c>
      <c r="K214" s="39" t="s">
        <v>40</v>
      </c>
      <c r="L214" s="39" t="s">
        <v>27</v>
      </c>
      <c r="M214" s="39" t="s">
        <v>28</v>
      </c>
      <c r="N214" s="39">
        <f t="shared" si="13"/>
        <v>3299.1035000000002</v>
      </c>
      <c r="O214" s="39">
        <f t="shared" si="14"/>
        <v>3728.55</v>
      </c>
      <c r="P214" s="39">
        <f t="shared" si="15"/>
        <v>-429.44650000000001</v>
      </c>
    </row>
    <row r="215" spans="1:16" x14ac:dyDescent="0.35">
      <c r="A215" s="39" t="s">
        <v>388</v>
      </c>
      <c r="B215" s="45">
        <v>45242</v>
      </c>
      <c r="C215" s="45" t="str">
        <f t="shared" si="12"/>
        <v>Nov</v>
      </c>
      <c r="D215" s="39" t="s">
        <v>54</v>
      </c>
      <c r="E215" s="39">
        <v>9</v>
      </c>
      <c r="F215" s="46" t="s">
        <v>51</v>
      </c>
      <c r="G215" s="39">
        <v>1468.05</v>
      </c>
      <c r="H215" s="39">
        <v>1838.21</v>
      </c>
      <c r="I215" s="39" t="s">
        <v>46</v>
      </c>
      <c r="J215" s="47">
        <v>0.15</v>
      </c>
      <c r="K215" s="39" t="s">
        <v>40</v>
      </c>
      <c r="L215" s="39" t="s">
        <v>27</v>
      </c>
      <c r="M215" s="39" t="s">
        <v>28</v>
      </c>
      <c r="N215" s="39">
        <f t="shared" si="13"/>
        <v>14062.306499999999</v>
      </c>
      <c r="O215" s="39">
        <f t="shared" si="14"/>
        <v>13212.449999999999</v>
      </c>
      <c r="P215" s="39">
        <f t="shared" si="15"/>
        <v>849.85649999999987</v>
      </c>
    </row>
    <row r="216" spans="1:16" x14ac:dyDescent="0.35">
      <c r="A216" s="39" t="s">
        <v>389</v>
      </c>
      <c r="B216" s="45">
        <v>45097</v>
      </c>
      <c r="C216" s="45" t="str">
        <f t="shared" si="12"/>
        <v>Jun</v>
      </c>
      <c r="D216" s="39" t="s">
        <v>38</v>
      </c>
      <c r="E216" s="39">
        <v>48</v>
      </c>
      <c r="F216" s="46" t="s">
        <v>45</v>
      </c>
      <c r="G216" s="39">
        <v>2614.48</v>
      </c>
      <c r="H216" s="39">
        <v>3049.04</v>
      </c>
      <c r="I216" s="39" t="s">
        <v>46</v>
      </c>
      <c r="J216" s="47">
        <v>0.1</v>
      </c>
      <c r="K216" s="39" t="s">
        <v>47</v>
      </c>
      <c r="L216" s="39" t="s">
        <v>34</v>
      </c>
      <c r="M216" s="39" t="s">
        <v>41</v>
      </c>
      <c r="N216" s="39">
        <f t="shared" si="13"/>
        <v>131718.52799999999</v>
      </c>
      <c r="O216" s="39">
        <f t="shared" si="14"/>
        <v>125495.04000000001</v>
      </c>
      <c r="P216" s="39">
        <f t="shared" si="15"/>
        <v>6223.487999999983</v>
      </c>
    </row>
    <row r="217" spans="1:16" x14ac:dyDescent="0.35">
      <c r="A217" s="39" t="s">
        <v>391</v>
      </c>
      <c r="B217" s="45">
        <v>45282</v>
      </c>
      <c r="C217" s="45" t="str">
        <f t="shared" si="12"/>
        <v>Dec</v>
      </c>
      <c r="D217" s="39" t="s">
        <v>38</v>
      </c>
      <c r="E217" s="39">
        <v>2</v>
      </c>
      <c r="F217" s="46" t="s">
        <v>24</v>
      </c>
      <c r="G217" s="39">
        <v>3752.68</v>
      </c>
      <c r="H217" s="39">
        <v>4017.91</v>
      </c>
      <c r="I217" s="39" t="s">
        <v>25</v>
      </c>
      <c r="J217" s="47">
        <v>0.16</v>
      </c>
      <c r="K217" s="39" t="s">
        <v>40</v>
      </c>
      <c r="L217" s="39" t="s">
        <v>27</v>
      </c>
      <c r="M217" s="39" t="s">
        <v>41</v>
      </c>
      <c r="N217" s="39">
        <f t="shared" si="13"/>
        <v>6750.0887999999995</v>
      </c>
      <c r="O217" s="39">
        <f t="shared" si="14"/>
        <v>7505.36</v>
      </c>
      <c r="P217" s="39">
        <f t="shared" si="15"/>
        <v>-755.27120000000014</v>
      </c>
    </row>
    <row r="218" spans="1:16" x14ac:dyDescent="0.35">
      <c r="A218" s="39" t="s">
        <v>393</v>
      </c>
      <c r="B218" s="45">
        <v>45250</v>
      </c>
      <c r="C218" s="45" t="str">
        <f t="shared" si="12"/>
        <v>Nov</v>
      </c>
      <c r="D218" s="39" t="s">
        <v>22</v>
      </c>
      <c r="E218" s="39">
        <v>1</v>
      </c>
      <c r="F218" s="46" t="s">
        <v>39</v>
      </c>
      <c r="G218" s="39">
        <v>4190.83</v>
      </c>
      <c r="H218" s="39">
        <v>4528.7700000000004</v>
      </c>
      <c r="I218" s="39" t="s">
        <v>25</v>
      </c>
      <c r="J218" s="47">
        <v>0.22</v>
      </c>
      <c r="K218" s="39" t="s">
        <v>40</v>
      </c>
      <c r="L218" s="39" t="s">
        <v>27</v>
      </c>
      <c r="M218" s="39" t="s">
        <v>28</v>
      </c>
      <c r="N218" s="39">
        <f t="shared" si="13"/>
        <v>3532.4406000000004</v>
      </c>
      <c r="O218" s="39">
        <f t="shared" si="14"/>
        <v>4190.83</v>
      </c>
      <c r="P218" s="39">
        <f t="shared" si="15"/>
        <v>-658.38939999999957</v>
      </c>
    </row>
    <row r="219" spans="1:16" x14ac:dyDescent="0.35">
      <c r="A219" s="39" t="s">
        <v>394</v>
      </c>
      <c r="B219" s="45">
        <v>45059</v>
      </c>
      <c r="C219" s="45" t="str">
        <f t="shared" si="12"/>
        <v>May</v>
      </c>
      <c r="D219" s="39" t="s">
        <v>22</v>
      </c>
      <c r="E219" s="39">
        <v>40</v>
      </c>
      <c r="F219" s="46" t="s">
        <v>24</v>
      </c>
      <c r="G219" s="39">
        <v>3536.46</v>
      </c>
      <c r="H219" s="39">
        <v>3945.82</v>
      </c>
      <c r="I219" s="39" t="s">
        <v>46</v>
      </c>
      <c r="J219" s="47">
        <v>0.12</v>
      </c>
      <c r="K219" s="39" t="s">
        <v>40</v>
      </c>
      <c r="L219" s="39" t="s">
        <v>34</v>
      </c>
      <c r="M219" s="39" t="s">
        <v>28</v>
      </c>
      <c r="N219" s="39">
        <f t="shared" si="13"/>
        <v>138892.86400000003</v>
      </c>
      <c r="O219" s="39">
        <f t="shared" si="14"/>
        <v>141458.4</v>
      </c>
      <c r="P219" s="39">
        <f t="shared" si="15"/>
        <v>-2565.5359999999637</v>
      </c>
    </row>
    <row r="220" spans="1:16" x14ac:dyDescent="0.35">
      <c r="A220" s="39" t="s">
        <v>395</v>
      </c>
      <c r="B220" s="45">
        <v>45219</v>
      </c>
      <c r="C220" s="45" t="str">
        <f t="shared" si="12"/>
        <v>Oct</v>
      </c>
      <c r="D220" s="39" t="s">
        <v>81</v>
      </c>
      <c r="E220" s="39">
        <v>30</v>
      </c>
      <c r="F220" s="46" t="s">
        <v>45</v>
      </c>
      <c r="G220" s="39">
        <v>4646.55</v>
      </c>
      <c r="H220" s="39">
        <v>5384.28</v>
      </c>
      <c r="I220" s="39" t="s">
        <v>25</v>
      </c>
      <c r="J220" s="47">
        <v>0.1</v>
      </c>
      <c r="K220" s="39" t="s">
        <v>47</v>
      </c>
      <c r="L220" s="39" t="s">
        <v>27</v>
      </c>
      <c r="M220" s="39" t="s">
        <v>41</v>
      </c>
      <c r="N220" s="39">
        <f t="shared" si="13"/>
        <v>145375.56</v>
      </c>
      <c r="O220" s="39">
        <f t="shared" si="14"/>
        <v>139396.5</v>
      </c>
      <c r="P220" s="39">
        <f t="shared" si="15"/>
        <v>5979.0599999999977</v>
      </c>
    </row>
    <row r="221" spans="1:16" x14ac:dyDescent="0.35">
      <c r="A221" s="39" t="s">
        <v>397</v>
      </c>
      <c r="B221" s="45">
        <v>45254</v>
      </c>
      <c r="C221" s="45" t="str">
        <f t="shared" si="12"/>
        <v>Nov</v>
      </c>
      <c r="D221" s="39" t="s">
        <v>81</v>
      </c>
      <c r="E221" s="39">
        <v>11</v>
      </c>
      <c r="F221" s="46" t="s">
        <v>39</v>
      </c>
      <c r="G221" s="39">
        <v>3706.78</v>
      </c>
      <c r="H221" s="39">
        <v>3862.26</v>
      </c>
      <c r="I221" s="39" t="s">
        <v>46</v>
      </c>
      <c r="J221" s="47">
        <v>0.22</v>
      </c>
      <c r="K221" s="39" t="s">
        <v>47</v>
      </c>
      <c r="L221" s="39" t="s">
        <v>34</v>
      </c>
      <c r="M221" s="39" t="s">
        <v>35</v>
      </c>
      <c r="N221" s="39">
        <f t="shared" si="13"/>
        <v>33138.190800000004</v>
      </c>
      <c r="O221" s="39">
        <f t="shared" si="14"/>
        <v>40774.58</v>
      </c>
      <c r="P221" s="39">
        <f t="shared" si="15"/>
        <v>-7636.3891999999978</v>
      </c>
    </row>
    <row r="222" spans="1:16" x14ac:dyDescent="0.35">
      <c r="A222" s="39" t="s">
        <v>398</v>
      </c>
      <c r="B222" s="45">
        <v>45053</v>
      </c>
      <c r="C222" s="45" t="str">
        <f t="shared" si="12"/>
        <v>May</v>
      </c>
      <c r="D222" s="39" t="s">
        <v>54</v>
      </c>
      <c r="E222" s="39">
        <v>28</v>
      </c>
      <c r="F222" s="46" t="s">
        <v>45</v>
      </c>
      <c r="G222" s="39">
        <v>1566.03</v>
      </c>
      <c r="H222" s="39">
        <v>1576.34</v>
      </c>
      <c r="I222" s="39" t="s">
        <v>25</v>
      </c>
      <c r="J222" s="47">
        <v>0.2</v>
      </c>
      <c r="K222" s="39" t="s">
        <v>40</v>
      </c>
      <c r="L222" s="39" t="s">
        <v>34</v>
      </c>
      <c r="M222" s="39" t="s">
        <v>35</v>
      </c>
      <c r="N222" s="39">
        <f t="shared" si="13"/>
        <v>35310.015999999996</v>
      </c>
      <c r="O222" s="39">
        <f t="shared" si="14"/>
        <v>43848.84</v>
      </c>
      <c r="P222" s="39">
        <f t="shared" si="15"/>
        <v>-8538.8240000000005</v>
      </c>
    </row>
    <row r="223" spans="1:16" x14ac:dyDescent="0.35">
      <c r="A223" s="39" t="s">
        <v>399</v>
      </c>
      <c r="B223" s="45">
        <v>45032</v>
      </c>
      <c r="C223" s="45" t="str">
        <f t="shared" si="12"/>
        <v>Apr</v>
      </c>
      <c r="D223" s="39" t="s">
        <v>81</v>
      </c>
      <c r="E223" s="39">
        <v>44</v>
      </c>
      <c r="F223" s="46" t="s">
        <v>51</v>
      </c>
      <c r="G223" s="39">
        <v>1362.15</v>
      </c>
      <c r="H223" s="39">
        <v>1844.07</v>
      </c>
      <c r="I223" s="39" t="s">
        <v>46</v>
      </c>
      <c r="J223" s="47">
        <v>0.28999999999999998</v>
      </c>
      <c r="K223" s="39" t="s">
        <v>47</v>
      </c>
      <c r="L223" s="39" t="s">
        <v>27</v>
      </c>
      <c r="M223" s="39" t="s">
        <v>41</v>
      </c>
      <c r="N223" s="39">
        <f t="shared" si="13"/>
        <v>57608.746800000001</v>
      </c>
      <c r="O223" s="39">
        <f t="shared" si="14"/>
        <v>59934.600000000006</v>
      </c>
      <c r="P223" s="39">
        <f t="shared" si="15"/>
        <v>-2325.853200000005</v>
      </c>
    </row>
    <row r="224" spans="1:16" x14ac:dyDescent="0.35">
      <c r="A224" s="39" t="s">
        <v>401</v>
      </c>
      <c r="B224" s="45">
        <v>45018</v>
      </c>
      <c r="C224" s="45" t="str">
        <f t="shared" si="12"/>
        <v>Apr</v>
      </c>
      <c r="D224" s="39" t="s">
        <v>38</v>
      </c>
      <c r="E224" s="39">
        <v>12</v>
      </c>
      <c r="F224" s="46" t="s">
        <v>39</v>
      </c>
      <c r="G224" s="39">
        <v>3496.15</v>
      </c>
      <c r="H224" s="39">
        <v>3955.75</v>
      </c>
      <c r="I224" s="39" t="s">
        <v>25</v>
      </c>
      <c r="J224" s="47">
        <v>0.28000000000000003</v>
      </c>
      <c r="K224" s="39" t="s">
        <v>26</v>
      </c>
      <c r="L224" s="39" t="s">
        <v>34</v>
      </c>
      <c r="M224" s="39" t="s">
        <v>28</v>
      </c>
      <c r="N224" s="39">
        <f t="shared" si="13"/>
        <v>34177.68</v>
      </c>
      <c r="O224" s="39">
        <f t="shared" si="14"/>
        <v>41953.8</v>
      </c>
      <c r="P224" s="39">
        <f t="shared" si="15"/>
        <v>-7776.1200000000026</v>
      </c>
    </row>
    <row r="225" spans="1:16" x14ac:dyDescent="0.35">
      <c r="A225" s="39" t="s">
        <v>403</v>
      </c>
      <c r="B225" s="45">
        <v>45213</v>
      </c>
      <c r="C225" s="45" t="str">
        <f t="shared" si="12"/>
        <v>Oct</v>
      </c>
      <c r="D225" s="39" t="s">
        <v>22</v>
      </c>
      <c r="E225" s="39">
        <v>39</v>
      </c>
      <c r="F225" s="46" t="s">
        <v>45</v>
      </c>
      <c r="G225" s="39">
        <v>1004.71</v>
      </c>
      <c r="H225" s="39">
        <v>1389.35</v>
      </c>
      <c r="I225" s="39" t="s">
        <v>46</v>
      </c>
      <c r="J225" s="47">
        <v>0.24</v>
      </c>
      <c r="K225" s="39" t="s">
        <v>40</v>
      </c>
      <c r="L225" s="39" t="s">
        <v>34</v>
      </c>
      <c r="M225" s="39" t="s">
        <v>28</v>
      </c>
      <c r="N225" s="39">
        <f t="shared" si="13"/>
        <v>41180.333999999995</v>
      </c>
      <c r="O225" s="39">
        <f t="shared" si="14"/>
        <v>39183.69</v>
      </c>
      <c r="P225" s="39">
        <f t="shared" si="15"/>
        <v>1996.643999999993</v>
      </c>
    </row>
    <row r="226" spans="1:16" x14ac:dyDescent="0.35">
      <c r="A226" s="39" t="s">
        <v>405</v>
      </c>
      <c r="B226" s="45">
        <v>44977</v>
      </c>
      <c r="C226" s="45" t="str">
        <f t="shared" si="12"/>
        <v>Feb</v>
      </c>
      <c r="D226" s="39" t="s">
        <v>81</v>
      </c>
      <c r="E226" s="39">
        <v>26</v>
      </c>
      <c r="F226" s="46" t="s">
        <v>39</v>
      </c>
      <c r="G226" s="39">
        <v>508.94</v>
      </c>
      <c r="H226" s="39">
        <v>557.69000000000005</v>
      </c>
      <c r="I226" s="39" t="s">
        <v>46</v>
      </c>
      <c r="J226" s="47">
        <v>0.22</v>
      </c>
      <c r="K226" s="39" t="s">
        <v>47</v>
      </c>
      <c r="L226" s="39" t="s">
        <v>27</v>
      </c>
      <c r="M226" s="39" t="s">
        <v>35</v>
      </c>
      <c r="N226" s="39">
        <f t="shared" si="13"/>
        <v>11309.953200000002</v>
      </c>
      <c r="O226" s="39">
        <f t="shared" si="14"/>
        <v>13232.44</v>
      </c>
      <c r="P226" s="39">
        <f t="shared" si="15"/>
        <v>-1922.4867999999988</v>
      </c>
    </row>
    <row r="227" spans="1:16" x14ac:dyDescent="0.35">
      <c r="A227" s="39" t="s">
        <v>406</v>
      </c>
      <c r="B227" s="45">
        <v>44955</v>
      </c>
      <c r="C227" s="45" t="str">
        <f t="shared" si="12"/>
        <v>Jan</v>
      </c>
      <c r="D227" s="39" t="s">
        <v>81</v>
      </c>
      <c r="E227" s="39">
        <v>13</v>
      </c>
      <c r="F227" s="46" t="s">
        <v>45</v>
      </c>
      <c r="G227" s="39">
        <v>2684.5</v>
      </c>
      <c r="H227" s="39">
        <v>2913.78</v>
      </c>
      <c r="I227" s="39" t="s">
        <v>46</v>
      </c>
      <c r="J227" s="47">
        <v>0.08</v>
      </c>
      <c r="K227" s="39" t="s">
        <v>47</v>
      </c>
      <c r="L227" s="39" t="s">
        <v>27</v>
      </c>
      <c r="M227" s="39" t="s">
        <v>35</v>
      </c>
      <c r="N227" s="39">
        <f t="shared" si="13"/>
        <v>34848.808799999999</v>
      </c>
      <c r="O227" s="39">
        <f t="shared" si="14"/>
        <v>34898.5</v>
      </c>
      <c r="P227" s="39">
        <f t="shared" si="15"/>
        <v>-49.691200000001118</v>
      </c>
    </row>
    <row r="228" spans="1:16" x14ac:dyDescent="0.35">
      <c r="A228" s="39" t="s">
        <v>407</v>
      </c>
      <c r="B228" s="45">
        <v>45222</v>
      </c>
      <c r="C228" s="45" t="str">
        <f t="shared" si="12"/>
        <v>Oct</v>
      </c>
      <c r="D228" s="39" t="s">
        <v>54</v>
      </c>
      <c r="E228" s="39">
        <v>8</v>
      </c>
      <c r="F228" s="46" t="s">
        <v>39</v>
      </c>
      <c r="G228" s="39">
        <v>4117.13</v>
      </c>
      <c r="H228" s="39">
        <v>4177.0600000000004</v>
      </c>
      <c r="I228" s="39" t="s">
        <v>25</v>
      </c>
      <c r="J228" s="47">
        <v>0.25</v>
      </c>
      <c r="K228" s="39" t="s">
        <v>40</v>
      </c>
      <c r="L228" s="39" t="s">
        <v>27</v>
      </c>
      <c r="M228" s="39" t="s">
        <v>41</v>
      </c>
      <c r="N228" s="39">
        <f t="shared" si="13"/>
        <v>25062.36</v>
      </c>
      <c r="O228" s="39">
        <f t="shared" si="14"/>
        <v>32937.040000000001</v>
      </c>
      <c r="P228" s="39">
        <f t="shared" si="15"/>
        <v>-7874.68</v>
      </c>
    </row>
    <row r="229" spans="1:16" x14ac:dyDescent="0.35">
      <c r="A229" s="39" t="s">
        <v>408</v>
      </c>
      <c r="B229" s="45">
        <v>45223</v>
      </c>
      <c r="C229" s="45" t="str">
        <f t="shared" si="12"/>
        <v>Oct</v>
      </c>
      <c r="D229" s="39" t="s">
        <v>54</v>
      </c>
      <c r="E229" s="39">
        <v>28</v>
      </c>
      <c r="F229" s="46" t="s">
        <v>45</v>
      </c>
      <c r="G229" s="39">
        <v>551.83000000000004</v>
      </c>
      <c r="H229" s="39">
        <v>569.63</v>
      </c>
      <c r="I229" s="39" t="s">
        <v>46</v>
      </c>
      <c r="J229" s="47">
        <v>0.13</v>
      </c>
      <c r="K229" s="39" t="s">
        <v>47</v>
      </c>
      <c r="L229" s="39" t="s">
        <v>34</v>
      </c>
      <c r="M229" s="39" t="s">
        <v>35</v>
      </c>
      <c r="N229" s="39">
        <f t="shared" si="13"/>
        <v>13876.186799999999</v>
      </c>
      <c r="O229" s="39">
        <f t="shared" si="14"/>
        <v>15451.240000000002</v>
      </c>
      <c r="P229" s="39">
        <f t="shared" si="15"/>
        <v>-1575.0532000000021</v>
      </c>
    </row>
    <row r="230" spans="1:16" x14ac:dyDescent="0.35">
      <c r="A230" s="39" t="s">
        <v>409</v>
      </c>
      <c r="B230" s="45">
        <v>45140</v>
      </c>
      <c r="C230" s="45" t="str">
        <f t="shared" si="12"/>
        <v>Aug</v>
      </c>
      <c r="D230" s="39" t="s">
        <v>38</v>
      </c>
      <c r="E230" s="39">
        <v>30</v>
      </c>
      <c r="F230" s="46" t="s">
        <v>51</v>
      </c>
      <c r="G230" s="39">
        <v>3969.86</v>
      </c>
      <c r="H230" s="39">
        <v>4281.79</v>
      </c>
      <c r="I230" s="39" t="s">
        <v>25</v>
      </c>
      <c r="J230" s="47">
        <v>0.08</v>
      </c>
      <c r="K230" s="39" t="s">
        <v>40</v>
      </c>
      <c r="L230" s="39" t="s">
        <v>34</v>
      </c>
      <c r="M230" s="39" t="s">
        <v>41</v>
      </c>
      <c r="N230" s="39">
        <f t="shared" si="13"/>
        <v>118177.40400000001</v>
      </c>
      <c r="O230" s="39">
        <f t="shared" si="14"/>
        <v>119095.8</v>
      </c>
      <c r="P230" s="39">
        <f t="shared" si="15"/>
        <v>-918.39599999999336</v>
      </c>
    </row>
    <row r="231" spans="1:16" x14ac:dyDescent="0.35">
      <c r="A231" s="39" t="s">
        <v>410</v>
      </c>
      <c r="B231" s="45">
        <v>45193</v>
      </c>
      <c r="C231" s="45" t="str">
        <f t="shared" si="12"/>
        <v>Sep</v>
      </c>
      <c r="D231" s="39" t="s">
        <v>22</v>
      </c>
      <c r="E231" s="39">
        <v>9</v>
      </c>
      <c r="F231" s="46" t="s">
        <v>39</v>
      </c>
      <c r="G231" s="39">
        <v>4067.28</v>
      </c>
      <c r="H231" s="39">
        <v>4548.09</v>
      </c>
      <c r="I231" s="39" t="s">
        <v>25</v>
      </c>
      <c r="J231" s="47">
        <v>0.12</v>
      </c>
      <c r="K231" s="39" t="s">
        <v>47</v>
      </c>
      <c r="L231" s="39" t="s">
        <v>27</v>
      </c>
      <c r="M231" s="39" t="s">
        <v>35</v>
      </c>
      <c r="N231" s="39">
        <f t="shared" si="13"/>
        <v>36020.872799999997</v>
      </c>
      <c r="O231" s="39">
        <f t="shared" si="14"/>
        <v>36605.520000000004</v>
      </c>
      <c r="P231" s="39">
        <f t="shared" si="15"/>
        <v>-584.64720000000671</v>
      </c>
    </row>
    <row r="232" spans="1:16" x14ac:dyDescent="0.35">
      <c r="A232" s="39" t="s">
        <v>412</v>
      </c>
      <c r="B232" s="45">
        <v>45183</v>
      </c>
      <c r="C232" s="45" t="str">
        <f t="shared" si="12"/>
        <v>Sep</v>
      </c>
      <c r="D232" s="39" t="s">
        <v>54</v>
      </c>
      <c r="E232" s="39">
        <v>39</v>
      </c>
      <c r="F232" s="46" t="s">
        <v>39</v>
      </c>
      <c r="G232" s="39">
        <v>2437.2600000000002</v>
      </c>
      <c r="H232" s="39">
        <v>2889.67</v>
      </c>
      <c r="I232" s="39" t="s">
        <v>25</v>
      </c>
      <c r="J232" s="47">
        <v>0.25</v>
      </c>
      <c r="K232" s="39" t="s">
        <v>26</v>
      </c>
      <c r="L232" s="39" t="s">
        <v>34</v>
      </c>
      <c r="M232" s="39" t="s">
        <v>35</v>
      </c>
      <c r="N232" s="39">
        <f t="shared" si="13"/>
        <v>84522.847500000003</v>
      </c>
      <c r="O232" s="39">
        <f t="shared" si="14"/>
        <v>95053.140000000014</v>
      </c>
      <c r="P232" s="39">
        <f t="shared" si="15"/>
        <v>-10530.29250000001</v>
      </c>
    </row>
    <row r="233" spans="1:16" x14ac:dyDescent="0.35">
      <c r="A233" s="39" t="s">
        <v>413</v>
      </c>
      <c r="B233" s="45">
        <v>45228</v>
      </c>
      <c r="C233" s="45" t="str">
        <f t="shared" si="12"/>
        <v>Oct</v>
      </c>
      <c r="D233" s="39" t="s">
        <v>81</v>
      </c>
      <c r="E233" s="39">
        <v>31</v>
      </c>
      <c r="F233" s="46" t="s">
        <v>39</v>
      </c>
      <c r="G233" s="39">
        <v>333.69</v>
      </c>
      <c r="H233" s="39">
        <v>685.1</v>
      </c>
      <c r="I233" s="39" t="s">
        <v>46</v>
      </c>
      <c r="J233" s="47">
        <v>0.04</v>
      </c>
      <c r="K233" s="39" t="s">
        <v>40</v>
      </c>
      <c r="L233" s="39" t="s">
        <v>27</v>
      </c>
      <c r="M233" s="39" t="s">
        <v>35</v>
      </c>
      <c r="N233" s="39">
        <f t="shared" si="13"/>
        <v>20388.576000000001</v>
      </c>
      <c r="O233" s="39">
        <f t="shared" si="14"/>
        <v>10344.39</v>
      </c>
      <c r="P233" s="39">
        <f t="shared" si="15"/>
        <v>10044.186000000002</v>
      </c>
    </row>
    <row r="234" spans="1:16" x14ac:dyDescent="0.35">
      <c r="A234" s="39" t="s">
        <v>414</v>
      </c>
      <c r="B234" s="45">
        <v>45027</v>
      </c>
      <c r="C234" s="45" t="str">
        <f t="shared" si="12"/>
        <v>Apr</v>
      </c>
      <c r="D234" s="39" t="s">
        <v>22</v>
      </c>
      <c r="E234" s="39">
        <v>21</v>
      </c>
      <c r="F234" s="46" t="s">
        <v>39</v>
      </c>
      <c r="G234" s="39">
        <v>914.22</v>
      </c>
      <c r="H234" s="39">
        <v>971.57</v>
      </c>
      <c r="I234" s="39" t="s">
        <v>25</v>
      </c>
      <c r="J234" s="47">
        <v>0.14000000000000001</v>
      </c>
      <c r="K234" s="39" t="s">
        <v>26</v>
      </c>
      <c r="L234" s="39" t="s">
        <v>27</v>
      </c>
      <c r="M234" s="39" t="s">
        <v>28</v>
      </c>
      <c r="N234" s="39">
        <f t="shared" si="13"/>
        <v>17546.554200000002</v>
      </c>
      <c r="O234" s="39">
        <f t="shared" si="14"/>
        <v>19198.62</v>
      </c>
      <c r="P234" s="39">
        <f t="shared" si="15"/>
        <v>-1652.0657999999967</v>
      </c>
    </row>
    <row r="235" spans="1:16" x14ac:dyDescent="0.35">
      <c r="A235" s="39" t="s">
        <v>416</v>
      </c>
      <c r="B235" s="45">
        <v>45272</v>
      </c>
      <c r="C235" s="45" t="str">
        <f t="shared" si="12"/>
        <v>Dec</v>
      </c>
      <c r="D235" s="39" t="s">
        <v>22</v>
      </c>
      <c r="E235" s="39">
        <v>47</v>
      </c>
      <c r="F235" s="46" t="s">
        <v>51</v>
      </c>
      <c r="G235" s="39">
        <v>3551.76</v>
      </c>
      <c r="H235" s="39">
        <v>3696.1</v>
      </c>
      <c r="I235" s="39" t="s">
        <v>25</v>
      </c>
      <c r="J235" s="47">
        <v>0.15</v>
      </c>
      <c r="K235" s="39" t="s">
        <v>40</v>
      </c>
      <c r="L235" s="39" t="s">
        <v>34</v>
      </c>
      <c r="M235" s="39" t="s">
        <v>28</v>
      </c>
      <c r="N235" s="39">
        <f t="shared" si="13"/>
        <v>147659.19499999998</v>
      </c>
      <c r="O235" s="39">
        <f t="shared" si="14"/>
        <v>166932.72</v>
      </c>
      <c r="P235" s="39">
        <f t="shared" si="15"/>
        <v>-19273.525000000023</v>
      </c>
    </row>
    <row r="236" spans="1:16" x14ac:dyDescent="0.35">
      <c r="A236" s="39" t="s">
        <v>417</v>
      </c>
      <c r="B236" s="45">
        <v>45036</v>
      </c>
      <c r="C236" s="45" t="str">
        <f t="shared" si="12"/>
        <v>Apr</v>
      </c>
      <c r="D236" s="39" t="s">
        <v>81</v>
      </c>
      <c r="E236" s="39">
        <v>34</v>
      </c>
      <c r="F236" s="46" t="s">
        <v>39</v>
      </c>
      <c r="G236" s="39">
        <v>3573.3</v>
      </c>
      <c r="H236" s="39">
        <v>3740.13</v>
      </c>
      <c r="I236" s="39" t="s">
        <v>25</v>
      </c>
      <c r="J236" s="47">
        <v>0.01</v>
      </c>
      <c r="K236" s="39" t="s">
        <v>47</v>
      </c>
      <c r="L236" s="39" t="s">
        <v>27</v>
      </c>
      <c r="M236" s="39" t="s">
        <v>28</v>
      </c>
      <c r="N236" s="39">
        <f t="shared" si="13"/>
        <v>125892.7758</v>
      </c>
      <c r="O236" s="39">
        <f t="shared" si="14"/>
        <v>121492.20000000001</v>
      </c>
      <c r="P236" s="39">
        <f t="shared" si="15"/>
        <v>4400.5757999999914</v>
      </c>
    </row>
    <row r="237" spans="1:16" x14ac:dyDescent="0.35">
      <c r="A237" s="39" t="s">
        <v>418</v>
      </c>
      <c r="B237" s="45">
        <v>45108</v>
      </c>
      <c r="C237" s="45" t="str">
        <f t="shared" si="12"/>
        <v>Jul</v>
      </c>
      <c r="D237" s="39" t="s">
        <v>54</v>
      </c>
      <c r="E237" s="39">
        <v>31</v>
      </c>
      <c r="F237" s="46" t="s">
        <v>24</v>
      </c>
      <c r="G237" s="39">
        <v>4496.8599999999997</v>
      </c>
      <c r="H237" s="39">
        <v>4880.8</v>
      </c>
      <c r="I237" s="39" t="s">
        <v>46</v>
      </c>
      <c r="J237" s="47">
        <v>0.06</v>
      </c>
      <c r="K237" s="39" t="s">
        <v>26</v>
      </c>
      <c r="L237" s="39" t="s">
        <v>34</v>
      </c>
      <c r="M237" s="39" t="s">
        <v>35</v>
      </c>
      <c r="N237" s="39">
        <f t="shared" si="13"/>
        <v>142226.51200000002</v>
      </c>
      <c r="O237" s="39">
        <f t="shared" si="14"/>
        <v>139402.66</v>
      </c>
      <c r="P237" s="39">
        <f t="shared" si="15"/>
        <v>2823.8520000000135</v>
      </c>
    </row>
    <row r="238" spans="1:16" x14ac:dyDescent="0.35">
      <c r="A238" s="39" t="s">
        <v>419</v>
      </c>
      <c r="B238" s="45">
        <v>45239</v>
      </c>
      <c r="C238" s="45" t="str">
        <f t="shared" si="12"/>
        <v>Nov</v>
      </c>
      <c r="D238" s="39" t="s">
        <v>81</v>
      </c>
      <c r="E238" s="39">
        <v>25</v>
      </c>
      <c r="F238" s="46" t="s">
        <v>51</v>
      </c>
      <c r="G238" s="39">
        <v>2934.3</v>
      </c>
      <c r="H238" s="39">
        <v>3937.4</v>
      </c>
      <c r="I238" s="39" t="s">
        <v>25</v>
      </c>
      <c r="J238" s="47">
        <v>0.25</v>
      </c>
      <c r="K238" s="39" t="s">
        <v>47</v>
      </c>
      <c r="L238" s="39" t="s">
        <v>34</v>
      </c>
      <c r="M238" s="39" t="s">
        <v>41</v>
      </c>
      <c r="N238" s="39">
        <f t="shared" si="13"/>
        <v>73826.25</v>
      </c>
      <c r="O238" s="39">
        <f t="shared" si="14"/>
        <v>73357.5</v>
      </c>
      <c r="P238" s="39">
        <f t="shared" si="15"/>
        <v>468.75</v>
      </c>
    </row>
    <row r="239" spans="1:16" x14ac:dyDescent="0.35">
      <c r="A239" s="39" t="s">
        <v>421</v>
      </c>
      <c r="B239" s="45">
        <v>44927</v>
      </c>
      <c r="C239" s="45" t="str">
        <f t="shared" si="12"/>
        <v>Jan</v>
      </c>
      <c r="D239" s="39" t="s">
        <v>22</v>
      </c>
      <c r="E239" s="39">
        <v>12</v>
      </c>
      <c r="F239" s="46" t="s">
        <v>24</v>
      </c>
      <c r="G239" s="39">
        <v>664.33</v>
      </c>
      <c r="H239" s="39">
        <v>863.03</v>
      </c>
      <c r="I239" s="39" t="s">
        <v>25</v>
      </c>
      <c r="J239" s="47">
        <v>0.25</v>
      </c>
      <c r="K239" s="39" t="s">
        <v>40</v>
      </c>
      <c r="L239" s="39" t="s">
        <v>27</v>
      </c>
      <c r="M239" s="39" t="s">
        <v>41</v>
      </c>
      <c r="N239" s="39">
        <f t="shared" si="13"/>
        <v>7767.27</v>
      </c>
      <c r="O239" s="39">
        <f t="shared" si="14"/>
        <v>7971.9600000000009</v>
      </c>
      <c r="P239" s="39">
        <f t="shared" si="15"/>
        <v>-204.69000000000051</v>
      </c>
    </row>
    <row r="240" spans="1:16" x14ac:dyDescent="0.35">
      <c r="A240" s="39" t="s">
        <v>422</v>
      </c>
      <c r="B240" s="45">
        <v>45245</v>
      </c>
      <c r="C240" s="45" t="str">
        <f t="shared" si="12"/>
        <v>Nov</v>
      </c>
      <c r="D240" s="39" t="s">
        <v>32</v>
      </c>
      <c r="E240" s="39">
        <v>1</v>
      </c>
      <c r="F240" s="46" t="s">
        <v>39</v>
      </c>
      <c r="G240" s="39">
        <v>651</v>
      </c>
      <c r="H240" s="39">
        <v>865.76</v>
      </c>
      <c r="I240" s="39" t="s">
        <v>25</v>
      </c>
      <c r="J240" s="47">
        <v>0.09</v>
      </c>
      <c r="K240" s="39" t="s">
        <v>40</v>
      </c>
      <c r="L240" s="39" t="s">
        <v>34</v>
      </c>
      <c r="M240" s="39" t="s">
        <v>41</v>
      </c>
      <c r="N240" s="39">
        <f t="shared" si="13"/>
        <v>787.84159999999997</v>
      </c>
      <c r="O240" s="39">
        <f t="shared" si="14"/>
        <v>651</v>
      </c>
      <c r="P240" s="39">
        <f t="shared" si="15"/>
        <v>136.84159999999997</v>
      </c>
    </row>
    <row r="241" spans="1:16" x14ac:dyDescent="0.35">
      <c r="A241" s="39" t="s">
        <v>424</v>
      </c>
      <c r="B241" s="45">
        <v>44981</v>
      </c>
      <c r="C241" s="45" t="str">
        <f t="shared" si="12"/>
        <v>Feb</v>
      </c>
      <c r="D241" s="39" t="s">
        <v>32</v>
      </c>
      <c r="E241" s="39">
        <v>22</v>
      </c>
      <c r="F241" s="46" t="s">
        <v>45</v>
      </c>
      <c r="G241" s="39">
        <v>3619.61</v>
      </c>
      <c r="H241" s="39">
        <v>4651.42</v>
      </c>
      <c r="I241" s="39" t="s">
        <v>25</v>
      </c>
      <c r="J241" s="47">
        <v>0.26</v>
      </c>
      <c r="K241" s="39" t="s">
        <v>40</v>
      </c>
      <c r="L241" s="39" t="s">
        <v>27</v>
      </c>
      <c r="M241" s="39" t="s">
        <v>41</v>
      </c>
      <c r="N241" s="39">
        <f t="shared" si="13"/>
        <v>75725.117599999998</v>
      </c>
      <c r="O241" s="39">
        <f t="shared" si="14"/>
        <v>79631.42</v>
      </c>
      <c r="P241" s="39">
        <f t="shared" si="15"/>
        <v>-3906.3024000000005</v>
      </c>
    </row>
    <row r="242" spans="1:16" x14ac:dyDescent="0.35">
      <c r="A242" s="39" t="s">
        <v>425</v>
      </c>
      <c r="B242" s="45">
        <v>45075</v>
      </c>
      <c r="C242" s="45" t="str">
        <f t="shared" si="12"/>
        <v>May</v>
      </c>
      <c r="D242" s="39" t="s">
        <v>38</v>
      </c>
      <c r="E242" s="39">
        <v>40</v>
      </c>
      <c r="F242" s="46" t="s">
        <v>24</v>
      </c>
      <c r="G242" s="39">
        <v>959.73</v>
      </c>
      <c r="H242" s="39">
        <v>1111.4100000000001</v>
      </c>
      <c r="I242" s="39" t="s">
        <v>46</v>
      </c>
      <c r="J242" s="47">
        <v>0.23</v>
      </c>
      <c r="K242" s="39" t="s">
        <v>40</v>
      </c>
      <c r="L242" s="39" t="s">
        <v>34</v>
      </c>
      <c r="M242" s="39" t="s">
        <v>28</v>
      </c>
      <c r="N242" s="39">
        <f t="shared" si="13"/>
        <v>34231.428</v>
      </c>
      <c r="O242" s="39">
        <f t="shared" si="14"/>
        <v>38389.199999999997</v>
      </c>
      <c r="P242" s="39">
        <f t="shared" si="15"/>
        <v>-4157.7719999999972</v>
      </c>
    </row>
    <row r="243" spans="1:16" x14ac:dyDescent="0.35">
      <c r="A243" s="39" t="s">
        <v>426</v>
      </c>
      <c r="B243" s="45">
        <v>45235</v>
      </c>
      <c r="C243" s="45" t="str">
        <f t="shared" si="12"/>
        <v>Nov</v>
      </c>
      <c r="D243" s="39" t="s">
        <v>81</v>
      </c>
      <c r="E243" s="39">
        <v>37</v>
      </c>
      <c r="F243" s="46" t="s">
        <v>39</v>
      </c>
      <c r="G243" s="39">
        <v>1675.51</v>
      </c>
      <c r="H243" s="39">
        <v>1906.64</v>
      </c>
      <c r="I243" s="39" t="s">
        <v>46</v>
      </c>
      <c r="J243" s="47">
        <v>0.13</v>
      </c>
      <c r="K243" s="39" t="s">
        <v>40</v>
      </c>
      <c r="L243" s="39" t="s">
        <v>34</v>
      </c>
      <c r="M243" s="39" t="s">
        <v>28</v>
      </c>
      <c r="N243" s="39">
        <f t="shared" si="13"/>
        <v>61374.741600000008</v>
      </c>
      <c r="O243" s="39">
        <f t="shared" si="14"/>
        <v>61993.87</v>
      </c>
      <c r="P243" s="39">
        <f t="shared" si="15"/>
        <v>-619.12839999999414</v>
      </c>
    </row>
    <row r="244" spans="1:16" x14ac:dyDescent="0.35">
      <c r="A244" s="39" t="s">
        <v>427</v>
      </c>
      <c r="B244" s="45">
        <v>45063</v>
      </c>
      <c r="C244" s="45" t="str">
        <f t="shared" si="12"/>
        <v>May</v>
      </c>
      <c r="D244" s="39" t="s">
        <v>81</v>
      </c>
      <c r="E244" s="39">
        <v>47</v>
      </c>
      <c r="F244" s="46" t="s">
        <v>24</v>
      </c>
      <c r="G244" s="39">
        <v>2461.6999999999998</v>
      </c>
      <c r="H244" s="39">
        <v>4529.0200000000004</v>
      </c>
      <c r="I244" s="39" t="s">
        <v>25</v>
      </c>
      <c r="J244" s="47">
        <v>0.22</v>
      </c>
      <c r="K244" s="39" t="s">
        <v>26</v>
      </c>
      <c r="L244" s="39" t="s">
        <v>34</v>
      </c>
      <c r="M244" s="39" t="s">
        <v>35</v>
      </c>
      <c r="N244" s="39">
        <f t="shared" si="13"/>
        <v>166033.87320000003</v>
      </c>
      <c r="O244" s="39">
        <f t="shared" si="14"/>
        <v>115699.9</v>
      </c>
      <c r="P244" s="39">
        <f t="shared" si="15"/>
        <v>50333.973200000037</v>
      </c>
    </row>
    <row r="245" spans="1:16" x14ac:dyDescent="0.35">
      <c r="A245" s="39" t="s">
        <v>428</v>
      </c>
      <c r="B245" s="45">
        <v>45128</v>
      </c>
      <c r="C245" s="45" t="str">
        <f t="shared" si="12"/>
        <v>Jul</v>
      </c>
      <c r="D245" s="39" t="s">
        <v>38</v>
      </c>
      <c r="E245" s="39">
        <v>1</v>
      </c>
      <c r="F245" s="46" t="s">
        <v>39</v>
      </c>
      <c r="G245" s="39">
        <v>172.59</v>
      </c>
      <c r="H245" s="39">
        <v>404.69</v>
      </c>
      <c r="I245" s="39" t="s">
        <v>25</v>
      </c>
      <c r="J245" s="47">
        <v>0.28999999999999998</v>
      </c>
      <c r="K245" s="39" t="s">
        <v>40</v>
      </c>
      <c r="L245" s="39" t="s">
        <v>27</v>
      </c>
      <c r="M245" s="39" t="s">
        <v>35</v>
      </c>
      <c r="N245" s="39">
        <f t="shared" si="13"/>
        <v>287.32990000000001</v>
      </c>
      <c r="O245" s="39">
        <f t="shared" si="14"/>
        <v>172.59</v>
      </c>
      <c r="P245" s="39">
        <f t="shared" si="15"/>
        <v>114.73990000000001</v>
      </c>
    </row>
    <row r="246" spans="1:16" x14ac:dyDescent="0.35">
      <c r="A246" s="39" t="s">
        <v>429</v>
      </c>
      <c r="B246" s="45">
        <v>45239</v>
      </c>
      <c r="C246" s="45" t="str">
        <f t="shared" si="12"/>
        <v>Nov</v>
      </c>
      <c r="D246" s="39" t="s">
        <v>38</v>
      </c>
      <c r="E246" s="39">
        <v>1</v>
      </c>
      <c r="F246" s="46" t="s">
        <v>39</v>
      </c>
      <c r="G246" s="39">
        <v>1281.6500000000001</v>
      </c>
      <c r="H246" s="39">
        <v>1709.71</v>
      </c>
      <c r="I246" s="39" t="s">
        <v>25</v>
      </c>
      <c r="J246" s="47">
        <v>0.14000000000000001</v>
      </c>
      <c r="K246" s="39" t="s">
        <v>47</v>
      </c>
      <c r="L246" s="39" t="s">
        <v>34</v>
      </c>
      <c r="M246" s="39" t="s">
        <v>41</v>
      </c>
      <c r="N246" s="39">
        <f t="shared" si="13"/>
        <v>1470.3506</v>
      </c>
      <c r="O246" s="39">
        <f t="shared" si="14"/>
        <v>1281.6500000000001</v>
      </c>
      <c r="P246" s="39">
        <f t="shared" si="15"/>
        <v>188.70059999999989</v>
      </c>
    </row>
    <row r="247" spans="1:16" x14ac:dyDescent="0.35">
      <c r="A247" s="39" t="s">
        <v>431</v>
      </c>
      <c r="B247" s="45">
        <v>45043</v>
      </c>
      <c r="C247" s="45" t="str">
        <f t="shared" si="12"/>
        <v>Apr</v>
      </c>
      <c r="D247" s="39" t="s">
        <v>38</v>
      </c>
      <c r="E247" s="39">
        <v>42</v>
      </c>
      <c r="F247" s="46" t="s">
        <v>39</v>
      </c>
      <c r="G247" s="39">
        <v>2069.0500000000002</v>
      </c>
      <c r="H247" s="39">
        <v>2363.9</v>
      </c>
      <c r="I247" s="39" t="s">
        <v>25</v>
      </c>
      <c r="J247" s="47">
        <v>7.0000000000000007E-2</v>
      </c>
      <c r="K247" s="39" t="s">
        <v>26</v>
      </c>
      <c r="L247" s="39" t="s">
        <v>27</v>
      </c>
      <c r="M247" s="39" t="s">
        <v>28</v>
      </c>
      <c r="N247" s="39">
        <f t="shared" si="13"/>
        <v>92333.933999999994</v>
      </c>
      <c r="O247" s="39">
        <f t="shared" si="14"/>
        <v>86900.1</v>
      </c>
      <c r="P247" s="39">
        <f t="shared" si="15"/>
        <v>5433.833999999988</v>
      </c>
    </row>
    <row r="248" spans="1:16" x14ac:dyDescent="0.35">
      <c r="A248" s="39" t="s">
        <v>433</v>
      </c>
      <c r="B248" s="45">
        <v>45080</v>
      </c>
      <c r="C248" s="45" t="str">
        <f t="shared" si="12"/>
        <v>Jun</v>
      </c>
      <c r="D248" s="39" t="s">
        <v>22</v>
      </c>
      <c r="E248" s="39">
        <v>42</v>
      </c>
      <c r="F248" s="46" t="s">
        <v>45</v>
      </c>
      <c r="G248" s="39">
        <v>1434.2</v>
      </c>
      <c r="H248" s="39">
        <v>1482.88</v>
      </c>
      <c r="I248" s="39" t="s">
        <v>46</v>
      </c>
      <c r="J248" s="47">
        <v>0.28000000000000003</v>
      </c>
      <c r="K248" s="39" t="s">
        <v>47</v>
      </c>
      <c r="L248" s="39" t="s">
        <v>34</v>
      </c>
      <c r="M248" s="39" t="s">
        <v>41</v>
      </c>
      <c r="N248" s="39">
        <f t="shared" si="13"/>
        <v>44842.2912</v>
      </c>
      <c r="O248" s="39">
        <f t="shared" si="14"/>
        <v>60236.4</v>
      </c>
      <c r="P248" s="39">
        <f t="shared" si="15"/>
        <v>-15394.108800000002</v>
      </c>
    </row>
    <row r="249" spans="1:16" x14ac:dyDescent="0.35">
      <c r="A249" s="39" t="s">
        <v>434</v>
      </c>
      <c r="B249" s="45">
        <v>45217</v>
      </c>
      <c r="C249" s="45" t="str">
        <f t="shared" si="12"/>
        <v>Oct</v>
      </c>
      <c r="D249" s="39" t="s">
        <v>81</v>
      </c>
      <c r="E249" s="39">
        <v>21</v>
      </c>
      <c r="F249" s="46" t="s">
        <v>24</v>
      </c>
      <c r="G249" s="39">
        <v>725.03</v>
      </c>
      <c r="H249" s="39">
        <v>828.95</v>
      </c>
      <c r="I249" s="39" t="s">
        <v>46</v>
      </c>
      <c r="J249" s="47">
        <v>0.18</v>
      </c>
      <c r="K249" s="39" t="s">
        <v>40</v>
      </c>
      <c r="L249" s="39" t="s">
        <v>34</v>
      </c>
      <c r="M249" s="39" t="s">
        <v>35</v>
      </c>
      <c r="N249" s="39">
        <f t="shared" si="13"/>
        <v>14274.519000000002</v>
      </c>
      <c r="O249" s="39">
        <f t="shared" si="14"/>
        <v>15225.63</v>
      </c>
      <c r="P249" s="39">
        <f t="shared" si="15"/>
        <v>-951.11099999999715</v>
      </c>
    </row>
    <row r="250" spans="1:16" x14ac:dyDescent="0.35">
      <c r="A250" s="39" t="s">
        <v>435</v>
      </c>
      <c r="B250" s="45">
        <v>44989</v>
      </c>
      <c r="C250" s="45" t="str">
        <f t="shared" si="12"/>
        <v>Mar</v>
      </c>
      <c r="D250" s="39" t="s">
        <v>22</v>
      </c>
      <c r="E250" s="39">
        <v>15</v>
      </c>
      <c r="F250" s="46" t="s">
        <v>51</v>
      </c>
      <c r="G250" s="39">
        <v>3653.66</v>
      </c>
      <c r="H250" s="39">
        <v>3896.19</v>
      </c>
      <c r="I250" s="39" t="s">
        <v>46</v>
      </c>
      <c r="J250" s="47">
        <v>0.03</v>
      </c>
      <c r="K250" s="39" t="s">
        <v>47</v>
      </c>
      <c r="L250" s="39" t="s">
        <v>27</v>
      </c>
      <c r="M250" s="39" t="s">
        <v>35</v>
      </c>
      <c r="N250" s="39">
        <f t="shared" si="13"/>
        <v>56689.5645</v>
      </c>
      <c r="O250" s="39">
        <f t="shared" si="14"/>
        <v>54804.899999999994</v>
      </c>
      <c r="P250" s="39">
        <f t="shared" si="15"/>
        <v>1884.6645000000062</v>
      </c>
    </row>
    <row r="251" spans="1:16" x14ac:dyDescent="0.35">
      <c r="A251" s="39" t="s">
        <v>437</v>
      </c>
      <c r="B251" s="45">
        <v>45170</v>
      </c>
      <c r="C251" s="45" t="str">
        <f t="shared" si="12"/>
        <v>Sep</v>
      </c>
      <c r="D251" s="39" t="s">
        <v>38</v>
      </c>
      <c r="E251" s="39">
        <v>17</v>
      </c>
      <c r="F251" s="46" t="s">
        <v>51</v>
      </c>
      <c r="G251" s="39">
        <v>4075.08</v>
      </c>
      <c r="H251" s="39">
        <v>4262.21</v>
      </c>
      <c r="I251" s="39" t="s">
        <v>46</v>
      </c>
      <c r="J251" s="47">
        <v>0.17</v>
      </c>
      <c r="K251" s="39" t="s">
        <v>26</v>
      </c>
      <c r="L251" s="39" t="s">
        <v>27</v>
      </c>
      <c r="M251" s="39" t="s">
        <v>41</v>
      </c>
      <c r="N251" s="39">
        <f t="shared" si="13"/>
        <v>60139.783100000001</v>
      </c>
      <c r="O251" s="39">
        <f t="shared" si="14"/>
        <v>69276.36</v>
      </c>
      <c r="P251" s="39">
        <f t="shared" si="15"/>
        <v>-9136.5769</v>
      </c>
    </row>
    <row r="252" spans="1:16" x14ac:dyDescent="0.35">
      <c r="A252" s="39" t="s">
        <v>439</v>
      </c>
      <c r="B252" s="45">
        <v>44951</v>
      </c>
      <c r="C252" s="45" t="str">
        <f t="shared" si="12"/>
        <v>Jan</v>
      </c>
      <c r="D252" s="39" t="s">
        <v>81</v>
      </c>
      <c r="E252" s="39">
        <v>22</v>
      </c>
      <c r="F252" s="46" t="s">
        <v>51</v>
      </c>
      <c r="G252" s="39">
        <v>1324.52</v>
      </c>
      <c r="H252" s="39">
        <v>1510.3</v>
      </c>
      <c r="I252" s="39" t="s">
        <v>25</v>
      </c>
      <c r="J252" s="47">
        <v>0.15</v>
      </c>
      <c r="K252" s="39" t="s">
        <v>26</v>
      </c>
      <c r="L252" s="39" t="s">
        <v>27</v>
      </c>
      <c r="M252" s="39" t="s">
        <v>35</v>
      </c>
      <c r="N252" s="39">
        <f t="shared" si="13"/>
        <v>28242.609999999997</v>
      </c>
      <c r="O252" s="39">
        <f t="shared" si="14"/>
        <v>29139.439999999999</v>
      </c>
      <c r="P252" s="39">
        <f t="shared" si="15"/>
        <v>-896.83000000000175</v>
      </c>
    </row>
    <row r="253" spans="1:16" x14ac:dyDescent="0.35">
      <c r="A253" s="39" t="s">
        <v>440</v>
      </c>
      <c r="B253" s="45">
        <v>45016</v>
      </c>
      <c r="C253" s="45" t="str">
        <f t="shared" si="12"/>
        <v>Mar</v>
      </c>
      <c r="D253" s="39" t="s">
        <v>22</v>
      </c>
      <c r="E253" s="39">
        <v>38</v>
      </c>
      <c r="F253" s="46" t="s">
        <v>51</v>
      </c>
      <c r="G253" s="39">
        <v>3883.38</v>
      </c>
      <c r="H253" s="39">
        <v>4152.72</v>
      </c>
      <c r="I253" s="39" t="s">
        <v>25</v>
      </c>
      <c r="J253" s="47">
        <v>0.26</v>
      </c>
      <c r="K253" s="39" t="s">
        <v>26</v>
      </c>
      <c r="L253" s="39" t="s">
        <v>27</v>
      </c>
      <c r="M253" s="39" t="s">
        <v>41</v>
      </c>
      <c r="N253" s="39">
        <f t="shared" si="13"/>
        <v>116774.48640000001</v>
      </c>
      <c r="O253" s="39">
        <f t="shared" si="14"/>
        <v>147568.44</v>
      </c>
      <c r="P253" s="39">
        <f t="shared" si="15"/>
        <v>-30793.953599999993</v>
      </c>
    </row>
    <row r="254" spans="1:16" x14ac:dyDescent="0.35">
      <c r="A254" s="39" t="s">
        <v>442</v>
      </c>
      <c r="B254" s="45">
        <v>45001</v>
      </c>
      <c r="C254" s="45" t="str">
        <f t="shared" si="12"/>
        <v>Mar</v>
      </c>
      <c r="D254" s="39" t="s">
        <v>22</v>
      </c>
      <c r="E254" s="39">
        <v>35</v>
      </c>
      <c r="F254" s="46" t="s">
        <v>39</v>
      </c>
      <c r="G254" s="39">
        <v>1958.49</v>
      </c>
      <c r="H254" s="39">
        <v>2254.84</v>
      </c>
      <c r="I254" s="39" t="s">
        <v>46</v>
      </c>
      <c r="J254" s="47">
        <v>0.16</v>
      </c>
      <c r="K254" s="39" t="s">
        <v>47</v>
      </c>
      <c r="L254" s="39" t="s">
        <v>27</v>
      </c>
      <c r="M254" s="39" t="s">
        <v>28</v>
      </c>
      <c r="N254" s="39">
        <f t="shared" si="13"/>
        <v>66292.296000000002</v>
      </c>
      <c r="O254" s="39">
        <f t="shared" si="14"/>
        <v>68547.149999999994</v>
      </c>
      <c r="P254" s="39">
        <f t="shared" si="15"/>
        <v>-2254.8539999999921</v>
      </c>
    </row>
    <row r="255" spans="1:16" x14ac:dyDescent="0.35">
      <c r="A255" s="39" t="s">
        <v>443</v>
      </c>
      <c r="B255" s="45">
        <v>45220</v>
      </c>
      <c r="C255" s="45" t="str">
        <f t="shared" si="12"/>
        <v>Oct</v>
      </c>
      <c r="D255" s="39" t="s">
        <v>38</v>
      </c>
      <c r="E255" s="39">
        <v>45</v>
      </c>
      <c r="F255" s="46" t="s">
        <v>24</v>
      </c>
      <c r="G255" s="39">
        <v>2558.09</v>
      </c>
      <c r="H255" s="39">
        <v>2958.55</v>
      </c>
      <c r="I255" s="39" t="s">
        <v>46</v>
      </c>
      <c r="J255" s="47">
        <v>0.08</v>
      </c>
      <c r="K255" s="39" t="s">
        <v>26</v>
      </c>
      <c r="L255" s="39" t="s">
        <v>34</v>
      </c>
      <c r="M255" s="39" t="s">
        <v>41</v>
      </c>
      <c r="N255" s="39">
        <f t="shared" si="13"/>
        <v>122483.97</v>
      </c>
      <c r="O255" s="39">
        <f t="shared" si="14"/>
        <v>115114.05</v>
      </c>
      <c r="P255" s="39">
        <f t="shared" si="15"/>
        <v>7369.9199999999983</v>
      </c>
    </row>
    <row r="256" spans="1:16" x14ac:dyDescent="0.35">
      <c r="A256" s="39" t="s">
        <v>444</v>
      </c>
      <c r="B256" s="45">
        <v>45136</v>
      </c>
      <c r="C256" s="45" t="str">
        <f t="shared" si="12"/>
        <v>Jul</v>
      </c>
      <c r="D256" s="39" t="s">
        <v>81</v>
      </c>
      <c r="E256" s="39">
        <v>16</v>
      </c>
      <c r="F256" s="46" t="s">
        <v>24</v>
      </c>
      <c r="G256" s="39">
        <v>4287.21</v>
      </c>
      <c r="H256" s="39">
        <v>4464.28</v>
      </c>
      <c r="I256" s="39" t="s">
        <v>25</v>
      </c>
      <c r="J256" s="47">
        <v>0.2</v>
      </c>
      <c r="K256" s="39" t="s">
        <v>47</v>
      </c>
      <c r="L256" s="39" t="s">
        <v>34</v>
      </c>
      <c r="M256" s="39" t="s">
        <v>28</v>
      </c>
      <c r="N256" s="39">
        <f t="shared" si="13"/>
        <v>57142.784</v>
      </c>
      <c r="O256" s="39">
        <f t="shared" si="14"/>
        <v>68595.360000000001</v>
      </c>
      <c r="P256" s="39">
        <f t="shared" si="15"/>
        <v>-11452.576000000001</v>
      </c>
    </row>
    <row r="257" spans="1:16" x14ac:dyDescent="0.35">
      <c r="A257" s="39" t="s">
        <v>446</v>
      </c>
      <c r="B257" s="45">
        <v>45273</v>
      </c>
      <c r="C257" s="45" t="str">
        <f t="shared" si="12"/>
        <v>Dec</v>
      </c>
      <c r="D257" s="39" t="s">
        <v>38</v>
      </c>
      <c r="E257" s="39">
        <v>8</v>
      </c>
      <c r="F257" s="46" t="s">
        <v>45</v>
      </c>
      <c r="G257" s="39">
        <v>3762.27</v>
      </c>
      <c r="H257" s="39">
        <v>4166.95</v>
      </c>
      <c r="I257" s="39" t="s">
        <v>25</v>
      </c>
      <c r="J257" s="47">
        <v>0.16</v>
      </c>
      <c r="K257" s="39" t="s">
        <v>40</v>
      </c>
      <c r="L257" s="39" t="s">
        <v>27</v>
      </c>
      <c r="M257" s="39" t="s">
        <v>28</v>
      </c>
      <c r="N257" s="39">
        <f t="shared" si="13"/>
        <v>28001.903999999999</v>
      </c>
      <c r="O257" s="39">
        <f t="shared" si="14"/>
        <v>30098.16</v>
      </c>
      <c r="P257" s="39">
        <f t="shared" si="15"/>
        <v>-2096.2560000000012</v>
      </c>
    </row>
    <row r="258" spans="1:16" x14ac:dyDescent="0.35">
      <c r="A258" s="39" t="s">
        <v>447</v>
      </c>
      <c r="B258" s="45">
        <v>44943</v>
      </c>
      <c r="C258" s="45" t="str">
        <f t="shared" si="12"/>
        <v>Jan</v>
      </c>
      <c r="D258" s="39" t="s">
        <v>81</v>
      </c>
      <c r="E258" s="39">
        <v>47</v>
      </c>
      <c r="F258" s="46" t="s">
        <v>24</v>
      </c>
      <c r="G258" s="39">
        <v>4035.33</v>
      </c>
      <c r="H258" s="39">
        <v>4211.25</v>
      </c>
      <c r="I258" s="39" t="s">
        <v>25</v>
      </c>
      <c r="J258" s="47">
        <v>7.0000000000000007E-2</v>
      </c>
      <c r="K258" s="39" t="s">
        <v>40</v>
      </c>
      <c r="L258" s="39" t="s">
        <v>34</v>
      </c>
      <c r="M258" s="39" t="s">
        <v>35</v>
      </c>
      <c r="N258" s="39">
        <f t="shared" si="13"/>
        <v>184073.73749999999</v>
      </c>
      <c r="O258" s="39">
        <f t="shared" si="14"/>
        <v>189660.51</v>
      </c>
      <c r="P258" s="39">
        <f t="shared" si="15"/>
        <v>-5586.772500000021</v>
      </c>
    </row>
    <row r="259" spans="1:16" x14ac:dyDescent="0.35">
      <c r="A259" s="39" t="s">
        <v>449</v>
      </c>
      <c r="B259" s="45">
        <v>45054</v>
      </c>
      <c r="C259" s="45" t="str">
        <f t="shared" ref="C259:C301" si="16">TEXT(B259,"mmm")</f>
        <v>May</v>
      </c>
      <c r="D259" s="39" t="s">
        <v>32</v>
      </c>
      <c r="E259" s="39">
        <v>17</v>
      </c>
      <c r="F259" s="46" t="s">
        <v>24</v>
      </c>
      <c r="G259" s="39">
        <v>727.38</v>
      </c>
      <c r="H259" s="39">
        <v>764.54</v>
      </c>
      <c r="I259" s="39" t="s">
        <v>25</v>
      </c>
      <c r="J259" s="47">
        <v>0.17</v>
      </c>
      <c r="K259" s="39" t="s">
        <v>47</v>
      </c>
      <c r="L259" s="39" t="s">
        <v>34</v>
      </c>
      <c r="M259" s="39" t="s">
        <v>35</v>
      </c>
      <c r="N259" s="39">
        <f t="shared" ref="N259:N301" si="17">E259*H259*(1-J259)</f>
        <v>10787.6594</v>
      </c>
      <c r="O259" s="39">
        <f t="shared" ref="O259:O301" si="18">G259*E259</f>
        <v>12365.46</v>
      </c>
      <c r="P259" s="39">
        <f t="shared" ref="P259:P301" si="19">N259-O259</f>
        <v>-1577.8005999999987</v>
      </c>
    </row>
    <row r="260" spans="1:16" x14ac:dyDescent="0.35">
      <c r="A260" s="39" t="s">
        <v>450</v>
      </c>
      <c r="B260" s="45">
        <v>45290</v>
      </c>
      <c r="C260" s="45" t="str">
        <f t="shared" si="16"/>
        <v>Dec</v>
      </c>
      <c r="D260" s="39" t="s">
        <v>54</v>
      </c>
      <c r="E260" s="39">
        <v>17</v>
      </c>
      <c r="F260" s="46" t="s">
        <v>24</v>
      </c>
      <c r="G260" s="39">
        <v>395.11</v>
      </c>
      <c r="H260" s="39">
        <v>676.66</v>
      </c>
      <c r="I260" s="39" t="s">
        <v>25</v>
      </c>
      <c r="J260" s="47">
        <v>0.25</v>
      </c>
      <c r="K260" s="39" t="s">
        <v>26</v>
      </c>
      <c r="L260" s="39" t="s">
        <v>34</v>
      </c>
      <c r="M260" s="39" t="s">
        <v>35</v>
      </c>
      <c r="N260" s="39">
        <f t="shared" si="17"/>
        <v>8627.4149999999991</v>
      </c>
      <c r="O260" s="39">
        <f t="shared" si="18"/>
        <v>6716.87</v>
      </c>
      <c r="P260" s="39">
        <f t="shared" si="19"/>
        <v>1910.5449999999992</v>
      </c>
    </row>
    <row r="261" spans="1:16" x14ac:dyDescent="0.35">
      <c r="A261" s="39" t="s">
        <v>451</v>
      </c>
      <c r="B261" s="45">
        <v>45177</v>
      </c>
      <c r="C261" s="45" t="str">
        <f t="shared" si="16"/>
        <v>Sep</v>
      </c>
      <c r="D261" s="39" t="s">
        <v>54</v>
      </c>
      <c r="E261" s="39">
        <v>26</v>
      </c>
      <c r="F261" s="46" t="s">
        <v>45</v>
      </c>
      <c r="G261" s="39">
        <v>4472.3500000000004</v>
      </c>
      <c r="H261" s="39">
        <v>4770.42</v>
      </c>
      <c r="I261" s="39" t="s">
        <v>46</v>
      </c>
      <c r="J261" s="47">
        <v>0.01</v>
      </c>
      <c r="K261" s="39" t="s">
        <v>47</v>
      </c>
      <c r="L261" s="39" t="s">
        <v>27</v>
      </c>
      <c r="M261" s="39" t="s">
        <v>41</v>
      </c>
      <c r="N261" s="39">
        <f t="shared" si="17"/>
        <v>122790.61079999999</v>
      </c>
      <c r="O261" s="39">
        <f t="shared" si="18"/>
        <v>116281.1</v>
      </c>
      <c r="P261" s="39">
        <f t="shared" si="19"/>
        <v>6509.5107999999891</v>
      </c>
    </row>
    <row r="262" spans="1:16" x14ac:dyDescent="0.35">
      <c r="A262" s="39" t="s">
        <v>452</v>
      </c>
      <c r="B262" s="45">
        <v>45105</v>
      </c>
      <c r="C262" s="45" t="str">
        <f t="shared" si="16"/>
        <v>Jun</v>
      </c>
      <c r="D262" s="39" t="s">
        <v>54</v>
      </c>
      <c r="E262" s="39">
        <v>13</v>
      </c>
      <c r="F262" s="46" t="s">
        <v>51</v>
      </c>
      <c r="G262" s="39">
        <v>1969.78</v>
      </c>
      <c r="H262" s="39">
        <v>2437.6999999999998</v>
      </c>
      <c r="I262" s="39" t="s">
        <v>46</v>
      </c>
      <c r="J262" s="47">
        <v>0.19</v>
      </c>
      <c r="K262" s="39" t="s">
        <v>47</v>
      </c>
      <c r="L262" s="39" t="s">
        <v>34</v>
      </c>
      <c r="M262" s="39" t="s">
        <v>41</v>
      </c>
      <c r="N262" s="39">
        <f t="shared" si="17"/>
        <v>25668.981</v>
      </c>
      <c r="O262" s="39">
        <f t="shared" si="18"/>
        <v>25607.14</v>
      </c>
      <c r="P262" s="39">
        <f t="shared" si="19"/>
        <v>61.841000000000349</v>
      </c>
    </row>
    <row r="263" spans="1:16" x14ac:dyDescent="0.35">
      <c r="A263" s="39" t="s">
        <v>453</v>
      </c>
      <c r="B263" s="45">
        <v>45108</v>
      </c>
      <c r="C263" s="45" t="str">
        <f t="shared" si="16"/>
        <v>Jul</v>
      </c>
      <c r="D263" s="39" t="s">
        <v>38</v>
      </c>
      <c r="E263" s="39">
        <v>17</v>
      </c>
      <c r="F263" s="46" t="s">
        <v>24</v>
      </c>
      <c r="G263" s="39">
        <v>1475</v>
      </c>
      <c r="H263" s="39">
        <v>1840.77</v>
      </c>
      <c r="I263" s="39" t="s">
        <v>25</v>
      </c>
      <c r="J263" s="47">
        <v>0.1</v>
      </c>
      <c r="K263" s="39" t="s">
        <v>47</v>
      </c>
      <c r="L263" s="39" t="s">
        <v>34</v>
      </c>
      <c r="M263" s="39" t="s">
        <v>35</v>
      </c>
      <c r="N263" s="39">
        <f t="shared" si="17"/>
        <v>28163.780999999999</v>
      </c>
      <c r="O263" s="39">
        <f t="shared" si="18"/>
        <v>25075</v>
      </c>
      <c r="P263" s="39">
        <f t="shared" si="19"/>
        <v>3088.780999999999</v>
      </c>
    </row>
    <row r="264" spans="1:16" x14ac:dyDescent="0.35">
      <c r="A264" s="39" t="s">
        <v>455</v>
      </c>
      <c r="B264" s="45">
        <v>45078</v>
      </c>
      <c r="C264" s="45" t="str">
        <f t="shared" si="16"/>
        <v>Jun</v>
      </c>
      <c r="D264" s="39" t="s">
        <v>32</v>
      </c>
      <c r="E264" s="39">
        <v>38</v>
      </c>
      <c r="F264" s="46" t="s">
        <v>45</v>
      </c>
      <c r="G264" s="39">
        <v>3637.25</v>
      </c>
      <c r="H264" s="39">
        <v>4096.96</v>
      </c>
      <c r="I264" s="39" t="s">
        <v>25</v>
      </c>
      <c r="J264" s="47">
        <v>0.09</v>
      </c>
      <c r="K264" s="39" t="s">
        <v>40</v>
      </c>
      <c r="L264" s="39" t="s">
        <v>34</v>
      </c>
      <c r="M264" s="39" t="s">
        <v>41</v>
      </c>
      <c r="N264" s="39">
        <f t="shared" si="17"/>
        <v>141672.87680000003</v>
      </c>
      <c r="O264" s="39">
        <f t="shared" si="18"/>
        <v>138215.5</v>
      </c>
      <c r="P264" s="39">
        <f t="shared" si="19"/>
        <v>3457.3768000000273</v>
      </c>
    </row>
    <row r="265" spans="1:16" x14ac:dyDescent="0.35">
      <c r="A265" s="39" t="s">
        <v>456</v>
      </c>
      <c r="B265" s="45">
        <v>44951</v>
      </c>
      <c r="C265" s="45" t="str">
        <f t="shared" si="16"/>
        <v>Jan</v>
      </c>
      <c r="D265" s="39" t="s">
        <v>81</v>
      </c>
      <c r="E265" s="39">
        <v>17</v>
      </c>
      <c r="F265" s="46" t="s">
        <v>45</v>
      </c>
      <c r="G265" s="39">
        <v>4190.26</v>
      </c>
      <c r="H265" s="39">
        <v>4645.3500000000004</v>
      </c>
      <c r="I265" s="39" t="s">
        <v>46</v>
      </c>
      <c r="J265" s="47">
        <v>0.12</v>
      </c>
      <c r="K265" s="39" t="s">
        <v>47</v>
      </c>
      <c r="L265" s="39" t="s">
        <v>27</v>
      </c>
      <c r="M265" s="39" t="s">
        <v>35</v>
      </c>
      <c r="N265" s="39">
        <f t="shared" si="17"/>
        <v>69494.436000000016</v>
      </c>
      <c r="O265" s="39">
        <f t="shared" si="18"/>
        <v>71234.42</v>
      </c>
      <c r="P265" s="39">
        <f t="shared" si="19"/>
        <v>-1739.9839999999822</v>
      </c>
    </row>
    <row r="266" spans="1:16" x14ac:dyDescent="0.35">
      <c r="A266" s="39" t="s">
        <v>457</v>
      </c>
      <c r="B266" s="45">
        <v>45106</v>
      </c>
      <c r="C266" s="45" t="str">
        <f t="shared" si="16"/>
        <v>Jun</v>
      </c>
      <c r="D266" s="39" t="s">
        <v>22</v>
      </c>
      <c r="E266" s="39">
        <v>48</v>
      </c>
      <c r="F266" s="46" t="s">
        <v>39</v>
      </c>
      <c r="G266" s="39">
        <v>4319.32</v>
      </c>
      <c r="H266" s="39">
        <v>4625.5600000000004</v>
      </c>
      <c r="I266" s="39" t="s">
        <v>25</v>
      </c>
      <c r="J266" s="47">
        <v>0.1</v>
      </c>
      <c r="K266" s="39" t="s">
        <v>40</v>
      </c>
      <c r="L266" s="39" t="s">
        <v>34</v>
      </c>
      <c r="M266" s="39" t="s">
        <v>41</v>
      </c>
      <c r="N266" s="39">
        <f t="shared" si="17"/>
        <v>199824.19200000001</v>
      </c>
      <c r="O266" s="39">
        <f t="shared" si="18"/>
        <v>207327.35999999999</v>
      </c>
      <c r="P266" s="39">
        <f t="shared" si="19"/>
        <v>-7503.167999999976</v>
      </c>
    </row>
    <row r="267" spans="1:16" x14ac:dyDescent="0.35">
      <c r="A267" s="39" t="s">
        <v>458</v>
      </c>
      <c r="B267" s="45">
        <v>45124</v>
      </c>
      <c r="C267" s="45" t="str">
        <f t="shared" si="16"/>
        <v>Jul</v>
      </c>
      <c r="D267" s="39" t="s">
        <v>81</v>
      </c>
      <c r="E267" s="39">
        <v>14</v>
      </c>
      <c r="F267" s="46" t="s">
        <v>45</v>
      </c>
      <c r="G267" s="39">
        <v>1614.19</v>
      </c>
      <c r="H267" s="39">
        <v>1882.79</v>
      </c>
      <c r="I267" s="39" t="s">
        <v>46</v>
      </c>
      <c r="J267" s="47">
        <v>0.25</v>
      </c>
      <c r="K267" s="39" t="s">
        <v>47</v>
      </c>
      <c r="L267" s="39" t="s">
        <v>34</v>
      </c>
      <c r="M267" s="39" t="s">
        <v>28</v>
      </c>
      <c r="N267" s="39">
        <f t="shared" si="17"/>
        <v>19769.294999999998</v>
      </c>
      <c r="O267" s="39">
        <f t="shared" si="18"/>
        <v>22598.66</v>
      </c>
      <c r="P267" s="39">
        <f t="shared" si="19"/>
        <v>-2829.3650000000016</v>
      </c>
    </row>
    <row r="268" spans="1:16" x14ac:dyDescent="0.35">
      <c r="A268" s="39" t="s">
        <v>459</v>
      </c>
      <c r="B268" s="45">
        <v>45270</v>
      </c>
      <c r="C268" s="45" t="str">
        <f t="shared" si="16"/>
        <v>Dec</v>
      </c>
      <c r="D268" s="39" t="s">
        <v>22</v>
      </c>
      <c r="E268" s="39">
        <v>45</v>
      </c>
      <c r="F268" s="46" t="s">
        <v>51</v>
      </c>
      <c r="G268" s="39">
        <v>4268.45</v>
      </c>
      <c r="H268" s="39">
        <v>4551.6000000000004</v>
      </c>
      <c r="I268" s="39" t="s">
        <v>46</v>
      </c>
      <c r="J268" s="47">
        <v>0.08</v>
      </c>
      <c r="K268" s="39" t="s">
        <v>40</v>
      </c>
      <c r="L268" s="39" t="s">
        <v>27</v>
      </c>
      <c r="M268" s="39" t="s">
        <v>28</v>
      </c>
      <c r="N268" s="39">
        <f t="shared" si="17"/>
        <v>188436.24000000005</v>
      </c>
      <c r="O268" s="39">
        <f t="shared" si="18"/>
        <v>192080.25</v>
      </c>
      <c r="P268" s="39">
        <f t="shared" si="19"/>
        <v>-3644.0099999999511</v>
      </c>
    </row>
    <row r="269" spans="1:16" x14ac:dyDescent="0.35">
      <c r="A269" s="39" t="s">
        <v>460</v>
      </c>
      <c r="B269" s="45">
        <v>45087</v>
      </c>
      <c r="C269" s="45" t="str">
        <f t="shared" si="16"/>
        <v>Jun</v>
      </c>
      <c r="D269" s="39" t="s">
        <v>81</v>
      </c>
      <c r="E269" s="39">
        <v>6</v>
      </c>
      <c r="F269" s="46" t="s">
        <v>24</v>
      </c>
      <c r="G269" s="39">
        <v>252.62</v>
      </c>
      <c r="H269" s="39">
        <v>742</v>
      </c>
      <c r="I269" s="39" t="s">
        <v>46</v>
      </c>
      <c r="J269" s="47">
        <v>0.22</v>
      </c>
      <c r="K269" s="39" t="s">
        <v>47</v>
      </c>
      <c r="L269" s="39" t="s">
        <v>27</v>
      </c>
      <c r="M269" s="39" t="s">
        <v>35</v>
      </c>
      <c r="N269" s="39">
        <f t="shared" si="17"/>
        <v>3472.56</v>
      </c>
      <c r="O269" s="39">
        <f t="shared" si="18"/>
        <v>1515.72</v>
      </c>
      <c r="P269" s="39">
        <f t="shared" si="19"/>
        <v>1956.84</v>
      </c>
    </row>
    <row r="270" spans="1:16" x14ac:dyDescent="0.35">
      <c r="A270" s="39" t="s">
        <v>461</v>
      </c>
      <c r="B270" s="45">
        <v>45103</v>
      </c>
      <c r="C270" s="45" t="str">
        <f t="shared" si="16"/>
        <v>Jun</v>
      </c>
      <c r="D270" s="39" t="s">
        <v>32</v>
      </c>
      <c r="E270" s="39">
        <v>35</v>
      </c>
      <c r="F270" s="46" t="s">
        <v>45</v>
      </c>
      <c r="G270" s="39">
        <v>295.82</v>
      </c>
      <c r="H270" s="39">
        <v>684.67</v>
      </c>
      <c r="I270" s="39" t="s">
        <v>46</v>
      </c>
      <c r="J270" s="47">
        <v>0.03</v>
      </c>
      <c r="K270" s="39" t="s">
        <v>47</v>
      </c>
      <c r="L270" s="39" t="s">
        <v>34</v>
      </c>
      <c r="M270" s="39" t="s">
        <v>41</v>
      </c>
      <c r="N270" s="39">
        <f t="shared" si="17"/>
        <v>23244.546499999997</v>
      </c>
      <c r="O270" s="39">
        <f t="shared" si="18"/>
        <v>10353.699999999999</v>
      </c>
      <c r="P270" s="39">
        <f t="shared" si="19"/>
        <v>12890.846499999998</v>
      </c>
    </row>
    <row r="271" spans="1:16" x14ac:dyDescent="0.35">
      <c r="A271" s="39" t="s">
        <v>462</v>
      </c>
      <c r="B271" s="45">
        <v>45211</v>
      </c>
      <c r="C271" s="45" t="str">
        <f t="shared" si="16"/>
        <v>Oct</v>
      </c>
      <c r="D271" s="39" t="s">
        <v>22</v>
      </c>
      <c r="E271" s="39">
        <v>46</v>
      </c>
      <c r="F271" s="46" t="s">
        <v>51</v>
      </c>
      <c r="G271" s="39">
        <v>3136.42</v>
      </c>
      <c r="H271" s="39">
        <v>3198.49</v>
      </c>
      <c r="I271" s="39" t="s">
        <v>25</v>
      </c>
      <c r="J271" s="47">
        <v>0.28999999999999998</v>
      </c>
      <c r="K271" s="39" t="s">
        <v>26</v>
      </c>
      <c r="L271" s="39" t="s">
        <v>34</v>
      </c>
      <c r="M271" s="39" t="s">
        <v>41</v>
      </c>
      <c r="N271" s="39">
        <f t="shared" si="17"/>
        <v>104462.68339999998</v>
      </c>
      <c r="O271" s="39">
        <f t="shared" si="18"/>
        <v>144275.32</v>
      </c>
      <c r="P271" s="39">
        <f t="shared" si="19"/>
        <v>-39812.636600000027</v>
      </c>
    </row>
    <row r="272" spans="1:16" x14ac:dyDescent="0.35">
      <c r="A272" s="39" t="s">
        <v>463</v>
      </c>
      <c r="B272" s="45">
        <v>44989</v>
      </c>
      <c r="C272" s="45" t="str">
        <f t="shared" si="16"/>
        <v>Mar</v>
      </c>
      <c r="D272" s="39" t="s">
        <v>38</v>
      </c>
      <c r="E272" s="39">
        <v>14</v>
      </c>
      <c r="F272" s="46" t="s">
        <v>45</v>
      </c>
      <c r="G272" s="39">
        <v>362.38</v>
      </c>
      <c r="H272" s="39">
        <v>753.81</v>
      </c>
      <c r="I272" s="39" t="s">
        <v>25</v>
      </c>
      <c r="J272" s="47">
        <v>0.19</v>
      </c>
      <c r="K272" s="39" t="s">
        <v>26</v>
      </c>
      <c r="L272" s="39" t="s">
        <v>27</v>
      </c>
      <c r="M272" s="39" t="s">
        <v>28</v>
      </c>
      <c r="N272" s="39">
        <f t="shared" si="17"/>
        <v>8548.2054000000007</v>
      </c>
      <c r="O272" s="39">
        <f t="shared" si="18"/>
        <v>5073.32</v>
      </c>
      <c r="P272" s="39">
        <f t="shared" si="19"/>
        <v>3474.885400000001</v>
      </c>
    </row>
    <row r="273" spans="1:16" x14ac:dyDescent="0.35">
      <c r="A273" s="39" t="s">
        <v>465</v>
      </c>
      <c r="B273" s="45">
        <v>45076</v>
      </c>
      <c r="C273" s="45" t="str">
        <f t="shared" si="16"/>
        <v>May</v>
      </c>
      <c r="D273" s="39" t="s">
        <v>81</v>
      </c>
      <c r="E273" s="39">
        <v>47</v>
      </c>
      <c r="F273" s="46" t="s">
        <v>45</v>
      </c>
      <c r="G273" s="39">
        <v>1656.82</v>
      </c>
      <c r="H273" s="39">
        <v>1750.38</v>
      </c>
      <c r="I273" s="39" t="s">
        <v>46</v>
      </c>
      <c r="J273" s="47">
        <v>0.21</v>
      </c>
      <c r="K273" s="39" t="s">
        <v>47</v>
      </c>
      <c r="L273" s="39" t="s">
        <v>27</v>
      </c>
      <c r="M273" s="39" t="s">
        <v>28</v>
      </c>
      <c r="N273" s="39">
        <f t="shared" si="17"/>
        <v>64991.609400000001</v>
      </c>
      <c r="O273" s="39">
        <f t="shared" si="18"/>
        <v>77870.539999999994</v>
      </c>
      <c r="P273" s="39">
        <f t="shared" si="19"/>
        <v>-12878.930599999992</v>
      </c>
    </row>
    <row r="274" spans="1:16" x14ac:dyDescent="0.35">
      <c r="A274" s="39" t="s">
        <v>466</v>
      </c>
      <c r="B274" s="45">
        <v>45080</v>
      </c>
      <c r="C274" s="45" t="str">
        <f t="shared" si="16"/>
        <v>Jun</v>
      </c>
      <c r="D274" s="39" t="s">
        <v>81</v>
      </c>
      <c r="E274" s="39">
        <v>8</v>
      </c>
      <c r="F274" s="46" t="s">
        <v>45</v>
      </c>
      <c r="G274" s="39">
        <v>3380.14</v>
      </c>
      <c r="H274" s="39">
        <v>3609.34</v>
      </c>
      <c r="I274" s="39" t="s">
        <v>25</v>
      </c>
      <c r="J274" s="47">
        <v>0.09</v>
      </c>
      <c r="K274" s="39" t="s">
        <v>47</v>
      </c>
      <c r="L274" s="39" t="s">
        <v>27</v>
      </c>
      <c r="M274" s="39" t="s">
        <v>35</v>
      </c>
      <c r="N274" s="39">
        <f t="shared" si="17"/>
        <v>26275.995200000001</v>
      </c>
      <c r="O274" s="39">
        <f t="shared" si="18"/>
        <v>27041.119999999999</v>
      </c>
      <c r="P274" s="39">
        <f t="shared" si="19"/>
        <v>-765.12479999999778</v>
      </c>
    </row>
    <row r="275" spans="1:16" x14ac:dyDescent="0.35">
      <c r="A275" s="39" t="s">
        <v>468</v>
      </c>
      <c r="B275" s="45">
        <v>45082</v>
      </c>
      <c r="C275" s="45" t="str">
        <f t="shared" si="16"/>
        <v>Jun</v>
      </c>
      <c r="D275" s="39" t="s">
        <v>22</v>
      </c>
      <c r="E275" s="39">
        <v>15</v>
      </c>
      <c r="F275" s="46" t="s">
        <v>45</v>
      </c>
      <c r="G275" s="39">
        <v>1719.47</v>
      </c>
      <c r="H275" s="39">
        <v>1832.6</v>
      </c>
      <c r="I275" s="39" t="s">
        <v>25</v>
      </c>
      <c r="J275" s="47">
        <v>0.12</v>
      </c>
      <c r="K275" s="39" t="s">
        <v>47</v>
      </c>
      <c r="L275" s="39" t="s">
        <v>27</v>
      </c>
      <c r="M275" s="39" t="s">
        <v>28</v>
      </c>
      <c r="N275" s="39">
        <f t="shared" si="17"/>
        <v>24190.32</v>
      </c>
      <c r="O275" s="39">
        <f t="shared" si="18"/>
        <v>25792.05</v>
      </c>
      <c r="P275" s="39">
        <f t="shared" si="19"/>
        <v>-1601.7299999999996</v>
      </c>
    </row>
    <row r="276" spans="1:16" x14ac:dyDescent="0.35">
      <c r="A276" s="39" t="s">
        <v>469</v>
      </c>
      <c r="B276" s="45">
        <v>44975</v>
      </c>
      <c r="C276" s="45" t="str">
        <f t="shared" si="16"/>
        <v>Feb</v>
      </c>
      <c r="D276" s="39" t="s">
        <v>38</v>
      </c>
      <c r="E276" s="39">
        <v>27</v>
      </c>
      <c r="F276" s="46" t="s">
        <v>45</v>
      </c>
      <c r="G276" s="39">
        <v>939.02</v>
      </c>
      <c r="H276" s="39">
        <v>1286.92</v>
      </c>
      <c r="I276" s="39" t="s">
        <v>25</v>
      </c>
      <c r="J276" s="47">
        <v>7.0000000000000007E-2</v>
      </c>
      <c r="K276" s="39" t="s">
        <v>47</v>
      </c>
      <c r="L276" s="39" t="s">
        <v>27</v>
      </c>
      <c r="M276" s="39" t="s">
        <v>35</v>
      </c>
      <c r="N276" s="39">
        <f t="shared" si="17"/>
        <v>32314.5612</v>
      </c>
      <c r="O276" s="39">
        <f t="shared" si="18"/>
        <v>25353.54</v>
      </c>
      <c r="P276" s="39">
        <f t="shared" si="19"/>
        <v>6961.0211999999992</v>
      </c>
    </row>
    <row r="277" spans="1:16" x14ac:dyDescent="0.35">
      <c r="A277" s="39" t="s">
        <v>470</v>
      </c>
      <c r="B277" s="45">
        <v>45263</v>
      </c>
      <c r="C277" s="45" t="str">
        <f t="shared" si="16"/>
        <v>Dec</v>
      </c>
      <c r="D277" s="39" t="s">
        <v>38</v>
      </c>
      <c r="E277" s="39">
        <v>13</v>
      </c>
      <c r="F277" s="46" t="s">
        <v>51</v>
      </c>
      <c r="G277" s="39">
        <v>1442.69</v>
      </c>
      <c r="H277" s="39">
        <v>1882.57</v>
      </c>
      <c r="I277" s="39" t="s">
        <v>25</v>
      </c>
      <c r="J277" s="47">
        <v>0.28000000000000003</v>
      </c>
      <c r="K277" s="39" t="s">
        <v>26</v>
      </c>
      <c r="L277" s="39" t="s">
        <v>27</v>
      </c>
      <c r="M277" s="39" t="s">
        <v>28</v>
      </c>
      <c r="N277" s="39">
        <f t="shared" si="17"/>
        <v>17620.855199999998</v>
      </c>
      <c r="O277" s="39">
        <f t="shared" si="18"/>
        <v>18754.97</v>
      </c>
      <c r="P277" s="39">
        <f t="shared" si="19"/>
        <v>-1134.114800000003</v>
      </c>
    </row>
    <row r="278" spans="1:16" x14ac:dyDescent="0.35">
      <c r="A278" s="39" t="s">
        <v>471</v>
      </c>
      <c r="B278" s="45">
        <v>45010</v>
      </c>
      <c r="C278" s="45" t="str">
        <f t="shared" si="16"/>
        <v>Mar</v>
      </c>
      <c r="D278" s="39" t="s">
        <v>32</v>
      </c>
      <c r="E278" s="39">
        <v>49</v>
      </c>
      <c r="F278" s="46" t="s">
        <v>24</v>
      </c>
      <c r="G278" s="39">
        <v>2315</v>
      </c>
      <c r="H278" s="39">
        <v>2467.2800000000002</v>
      </c>
      <c r="I278" s="39" t="s">
        <v>46</v>
      </c>
      <c r="J278" s="47">
        <v>0.15</v>
      </c>
      <c r="K278" s="39" t="s">
        <v>40</v>
      </c>
      <c r="L278" s="39" t="s">
        <v>27</v>
      </c>
      <c r="M278" s="39" t="s">
        <v>28</v>
      </c>
      <c r="N278" s="39">
        <f t="shared" si="17"/>
        <v>102762.21200000001</v>
      </c>
      <c r="O278" s="39">
        <f t="shared" si="18"/>
        <v>113435</v>
      </c>
      <c r="P278" s="39">
        <f t="shared" si="19"/>
        <v>-10672.787999999986</v>
      </c>
    </row>
    <row r="279" spans="1:16" x14ac:dyDescent="0.35">
      <c r="A279" s="39" t="s">
        <v>472</v>
      </c>
      <c r="B279" s="45">
        <v>45287</v>
      </c>
      <c r="C279" s="45" t="str">
        <f t="shared" si="16"/>
        <v>Dec</v>
      </c>
      <c r="D279" s="39" t="s">
        <v>38</v>
      </c>
      <c r="E279" s="39">
        <v>31</v>
      </c>
      <c r="F279" s="46" t="s">
        <v>24</v>
      </c>
      <c r="G279" s="39">
        <v>2403.16</v>
      </c>
      <c r="H279" s="39">
        <v>2453.35</v>
      </c>
      <c r="I279" s="39" t="s">
        <v>25</v>
      </c>
      <c r="J279" s="47">
        <v>0.19</v>
      </c>
      <c r="K279" s="39" t="s">
        <v>47</v>
      </c>
      <c r="L279" s="39" t="s">
        <v>34</v>
      </c>
      <c r="M279" s="39" t="s">
        <v>41</v>
      </c>
      <c r="N279" s="39">
        <f t="shared" si="17"/>
        <v>61603.618499999997</v>
      </c>
      <c r="O279" s="39">
        <f t="shared" si="18"/>
        <v>74497.959999999992</v>
      </c>
      <c r="P279" s="39">
        <f t="shared" si="19"/>
        <v>-12894.341499999995</v>
      </c>
    </row>
    <row r="280" spans="1:16" x14ac:dyDescent="0.35">
      <c r="A280" s="39" t="s">
        <v>474</v>
      </c>
      <c r="B280" s="45">
        <v>45103</v>
      </c>
      <c r="C280" s="45" t="str">
        <f t="shared" si="16"/>
        <v>Jun</v>
      </c>
      <c r="D280" s="39" t="s">
        <v>38</v>
      </c>
      <c r="E280" s="39">
        <v>35</v>
      </c>
      <c r="F280" s="46" t="s">
        <v>24</v>
      </c>
      <c r="G280" s="39">
        <v>3925.85</v>
      </c>
      <c r="H280" s="39">
        <v>4082.11</v>
      </c>
      <c r="I280" s="39" t="s">
        <v>46</v>
      </c>
      <c r="J280" s="47">
        <v>0.09</v>
      </c>
      <c r="K280" s="39" t="s">
        <v>26</v>
      </c>
      <c r="L280" s="39" t="s">
        <v>27</v>
      </c>
      <c r="M280" s="39" t="s">
        <v>28</v>
      </c>
      <c r="N280" s="39">
        <f t="shared" si="17"/>
        <v>130015.2035</v>
      </c>
      <c r="O280" s="39">
        <f t="shared" si="18"/>
        <v>137404.75</v>
      </c>
      <c r="P280" s="39">
        <f t="shared" si="19"/>
        <v>-7389.5464999999967</v>
      </c>
    </row>
    <row r="281" spans="1:16" x14ac:dyDescent="0.35">
      <c r="A281" s="39" t="s">
        <v>475</v>
      </c>
      <c r="B281" s="45">
        <v>45074</v>
      </c>
      <c r="C281" s="45" t="str">
        <f t="shared" si="16"/>
        <v>May</v>
      </c>
      <c r="D281" s="39" t="s">
        <v>38</v>
      </c>
      <c r="E281" s="39">
        <v>6</v>
      </c>
      <c r="F281" s="46" t="s">
        <v>24</v>
      </c>
      <c r="G281" s="39">
        <v>3763.26</v>
      </c>
      <c r="H281" s="39">
        <v>4102.72</v>
      </c>
      <c r="I281" s="39" t="s">
        <v>46</v>
      </c>
      <c r="J281" s="47">
        <v>0.11</v>
      </c>
      <c r="K281" s="39" t="s">
        <v>47</v>
      </c>
      <c r="L281" s="39" t="s">
        <v>27</v>
      </c>
      <c r="M281" s="39" t="s">
        <v>28</v>
      </c>
      <c r="N281" s="39">
        <f t="shared" si="17"/>
        <v>21908.524799999999</v>
      </c>
      <c r="O281" s="39">
        <f t="shared" si="18"/>
        <v>22579.56</v>
      </c>
      <c r="P281" s="39">
        <f t="shared" si="19"/>
        <v>-671.03520000000208</v>
      </c>
    </row>
    <row r="282" spans="1:16" x14ac:dyDescent="0.35">
      <c r="A282" s="39" t="s">
        <v>476</v>
      </c>
      <c r="B282" s="45">
        <v>45044</v>
      </c>
      <c r="C282" s="45" t="str">
        <f t="shared" si="16"/>
        <v>Apr</v>
      </c>
      <c r="D282" s="39" t="s">
        <v>54</v>
      </c>
      <c r="E282" s="39">
        <v>5</v>
      </c>
      <c r="F282" s="46" t="s">
        <v>51</v>
      </c>
      <c r="G282" s="39">
        <v>2311.25</v>
      </c>
      <c r="H282" s="39">
        <v>2482.34</v>
      </c>
      <c r="I282" s="39" t="s">
        <v>25</v>
      </c>
      <c r="J282" s="47">
        <v>0.22</v>
      </c>
      <c r="K282" s="39" t="s">
        <v>47</v>
      </c>
      <c r="L282" s="39" t="s">
        <v>34</v>
      </c>
      <c r="M282" s="39" t="s">
        <v>35</v>
      </c>
      <c r="N282" s="39">
        <f t="shared" si="17"/>
        <v>9681.1260000000002</v>
      </c>
      <c r="O282" s="39">
        <f t="shared" si="18"/>
        <v>11556.25</v>
      </c>
      <c r="P282" s="39">
        <f t="shared" si="19"/>
        <v>-1875.1239999999998</v>
      </c>
    </row>
    <row r="283" spans="1:16" x14ac:dyDescent="0.35">
      <c r="A283" s="39" t="s">
        <v>477</v>
      </c>
      <c r="B283" s="45">
        <v>45268</v>
      </c>
      <c r="C283" s="45" t="str">
        <f t="shared" si="16"/>
        <v>Dec</v>
      </c>
      <c r="D283" s="39" t="s">
        <v>32</v>
      </c>
      <c r="E283" s="39">
        <v>22</v>
      </c>
      <c r="F283" s="46" t="s">
        <v>39</v>
      </c>
      <c r="G283" s="39">
        <v>4236.05</v>
      </c>
      <c r="H283" s="39">
        <v>4382.32</v>
      </c>
      <c r="I283" s="39" t="s">
        <v>46</v>
      </c>
      <c r="J283" s="47">
        <v>0.03</v>
      </c>
      <c r="K283" s="39" t="s">
        <v>40</v>
      </c>
      <c r="L283" s="39" t="s">
        <v>27</v>
      </c>
      <c r="M283" s="39" t="s">
        <v>28</v>
      </c>
      <c r="N283" s="39">
        <f t="shared" si="17"/>
        <v>93518.708799999993</v>
      </c>
      <c r="O283" s="39">
        <f t="shared" si="18"/>
        <v>93193.1</v>
      </c>
      <c r="P283" s="39">
        <f t="shared" si="19"/>
        <v>325.60879999998724</v>
      </c>
    </row>
    <row r="284" spans="1:16" x14ac:dyDescent="0.35">
      <c r="A284" s="39" t="s">
        <v>478</v>
      </c>
      <c r="B284" s="45">
        <v>44989</v>
      </c>
      <c r="C284" s="45" t="str">
        <f t="shared" si="16"/>
        <v>Mar</v>
      </c>
      <c r="D284" s="39" t="s">
        <v>81</v>
      </c>
      <c r="E284" s="39">
        <v>49</v>
      </c>
      <c r="F284" s="46" t="s">
        <v>39</v>
      </c>
      <c r="G284" s="39">
        <v>615.47</v>
      </c>
      <c r="H284" s="39">
        <v>715.84</v>
      </c>
      <c r="I284" s="39" t="s">
        <v>25</v>
      </c>
      <c r="J284" s="47">
        <v>0.21</v>
      </c>
      <c r="K284" s="39" t="s">
        <v>47</v>
      </c>
      <c r="L284" s="39" t="s">
        <v>27</v>
      </c>
      <c r="M284" s="39" t="s">
        <v>35</v>
      </c>
      <c r="N284" s="39">
        <f t="shared" si="17"/>
        <v>27710.166400000006</v>
      </c>
      <c r="O284" s="39">
        <f t="shared" si="18"/>
        <v>30158.030000000002</v>
      </c>
      <c r="P284" s="39">
        <f t="shared" si="19"/>
        <v>-2447.8635999999969</v>
      </c>
    </row>
    <row r="285" spans="1:16" x14ac:dyDescent="0.35">
      <c r="A285" s="39" t="s">
        <v>479</v>
      </c>
      <c r="B285" s="45">
        <v>45115</v>
      </c>
      <c r="C285" s="45" t="str">
        <f t="shared" si="16"/>
        <v>Jul</v>
      </c>
      <c r="D285" s="39" t="s">
        <v>22</v>
      </c>
      <c r="E285" s="39">
        <v>23</v>
      </c>
      <c r="F285" s="46" t="s">
        <v>51</v>
      </c>
      <c r="G285" s="39">
        <v>1314</v>
      </c>
      <c r="H285" s="39">
        <v>1567.78</v>
      </c>
      <c r="I285" s="39" t="s">
        <v>25</v>
      </c>
      <c r="J285" s="47">
        <v>0.15</v>
      </c>
      <c r="K285" s="39" t="s">
        <v>47</v>
      </c>
      <c r="L285" s="39" t="s">
        <v>34</v>
      </c>
      <c r="M285" s="39" t="s">
        <v>28</v>
      </c>
      <c r="N285" s="39">
        <f t="shared" si="17"/>
        <v>30650.099000000002</v>
      </c>
      <c r="O285" s="39">
        <f t="shared" si="18"/>
        <v>30222</v>
      </c>
      <c r="P285" s="39">
        <f t="shared" si="19"/>
        <v>428.09900000000198</v>
      </c>
    </row>
    <row r="286" spans="1:16" x14ac:dyDescent="0.35">
      <c r="A286" s="39" t="s">
        <v>480</v>
      </c>
      <c r="B286" s="45">
        <v>45286</v>
      </c>
      <c r="C286" s="45" t="str">
        <f t="shared" si="16"/>
        <v>Dec</v>
      </c>
      <c r="D286" s="39" t="s">
        <v>81</v>
      </c>
      <c r="E286" s="39">
        <v>25</v>
      </c>
      <c r="F286" s="46" t="s">
        <v>51</v>
      </c>
      <c r="G286" s="39">
        <v>4148.4799999999996</v>
      </c>
      <c r="H286" s="39">
        <v>4293.6899999999996</v>
      </c>
      <c r="I286" s="39" t="s">
        <v>46</v>
      </c>
      <c r="J286" s="47">
        <v>0.11</v>
      </c>
      <c r="K286" s="39" t="s">
        <v>40</v>
      </c>
      <c r="L286" s="39" t="s">
        <v>27</v>
      </c>
      <c r="M286" s="39" t="s">
        <v>28</v>
      </c>
      <c r="N286" s="39">
        <f t="shared" si="17"/>
        <v>95534.602499999994</v>
      </c>
      <c r="O286" s="39">
        <f t="shared" si="18"/>
        <v>103711.99999999999</v>
      </c>
      <c r="P286" s="39">
        <f t="shared" si="19"/>
        <v>-8177.3974999999919</v>
      </c>
    </row>
    <row r="287" spans="1:16" x14ac:dyDescent="0.35">
      <c r="A287" s="39" t="s">
        <v>481</v>
      </c>
      <c r="B287" s="45">
        <v>44975</v>
      </c>
      <c r="C287" s="45" t="str">
        <f t="shared" si="16"/>
        <v>Feb</v>
      </c>
      <c r="D287" s="39" t="s">
        <v>32</v>
      </c>
      <c r="E287" s="39">
        <v>34</v>
      </c>
      <c r="F287" s="46" t="s">
        <v>45</v>
      </c>
      <c r="G287" s="39">
        <v>1921.07</v>
      </c>
      <c r="H287" s="39">
        <v>2289.27</v>
      </c>
      <c r="I287" s="39" t="s">
        <v>25</v>
      </c>
      <c r="J287" s="47">
        <v>7.0000000000000007E-2</v>
      </c>
      <c r="K287" s="39" t="s">
        <v>40</v>
      </c>
      <c r="L287" s="39" t="s">
        <v>34</v>
      </c>
      <c r="M287" s="39" t="s">
        <v>35</v>
      </c>
      <c r="N287" s="39">
        <f t="shared" si="17"/>
        <v>72386.717399999994</v>
      </c>
      <c r="O287" s="39">
        <f t="shared" si="18"/>
        <v>65316.38</v>
      </c>
      <c r="P287" s="39">
        <f t="shared" si="19"/>
        <v>7070.3373999999967</v>
      </c>
    </row>
    <row r="288" spans="1:16" x14ac:dyDescent="0.35">
      <c r="A288" s="39" t="s">
        <v>482</v>
      </c>
      <c r="B288" s="45">
        <v>45253</v>
      </c>
      <c r="C288" s="45" t="str">
        <f t="shared" si="16"/>
        <v>Nov</v>
      </c>
      <c r="D288" s="39" t="s">
        <v>22</v>
      </c>
      <c r="E288" s="39">
        <v>26</v>
      </c>
      <c r="F288" s="46" t="s">
        <v>45</v>
      </c>
      <c r="G288" s="39">
        <v>4906.8500000000004</v>
      </c>
      <c r="H288" s="39">
        <v>6154.39</v>
      </c>
      <c r="I288" s="39" t="s">
        <v>46</v>
      </c>
      <c r="J288" s="47">
        <v>0.25</v>
      </c>
      <c r="K288" s="39" t="s">
        <v>40</v>
      </c>
      <c r="L288" s="39" t="s">
        <v>34</v>
      </c>
      <c r="M288" s="39" t="s">
        <v>41</v>
      </c>
      <c r="N288" s="39">
        <f t="shared" si="17"/>
        <v>120010.60500000001</v>
      </c>
      <c r="O288" s="39">
        <f t="shared" si="18"/>
        <v>127578.1</v>
      </c>
      <c r="P288" s="39">
        <f t="shared" si="19"/>
        <v>-7567.4949999999953</v>
      </c>
    </row>
    <row r="289" spans="1:16" x14ac:dyDescent="0.35">
      <c r="A289" s="39" t="s">
        <v>483</v>
      </c>
      <c r="B289" s="45">
        <v>45183</v>
      </c>
      <c r="C289" s="45" t="str">
        <f t="shared" si="16"/>
        <v>Sep</v>
      </c>
      <c r="D289" s="39" t="s">
        <v>32</v>
      </c>
      <c r="E289" s="39">
        <v>47</v>
      </c>
      <c r="F289" s="46" t="s">
        <v>45</v>
      </c>
      <c r="G289" s="39">
        <v>2357.9499999999998</v>
      </c>
      <c r="H289" s="39">
        <v>2693.33</v>
      </c>
      <c r="I289" s="39" t="s">
        <v>46</v>
      </c>
      <c r="J289" s="47">
        <v>0.18</v>
      </c>
      <c r="K289" s="39" t="s">
        <v>40</v>
      </c>
      <c r="L289" s="39" t="s">
        <v>34</v>
      </c>
      <c r="M289" s="39" t="s">
        <v>35</v>
      </c>
      <c r="N289" s="39">
        <f t="shared" si="17"/>
        <v>103800.9382</v>
      </c>
      <c r="O289" s="39">
        <f t="shared" si="18"/>
        <v>110823.65</v>
      </c>
      <c r="P289" s="39">
        <f t="shared" si="19"/>
        <v>-7022.71179999999</v>
      </c>
    </row>
    <row r="290" spans="1:16" x14ac:dyDescent="0.35">
      <c r="A290" s="39" t="s">
        <v>484</v>
      </c>
      <c r="B290" s="45">
        <v>45150</v>
      </c>
      <c r="C290" s="45" t="str">
        <f t="shared" si="16"/>
        <v>Aug</v>
      </c>
      <c r="D290" s="39" t="s">
        <v>38</v>
      </c>
      <c r="E290" s="39">
        <v>5</v>
      </c>
      <c r="F290" s="46" t="s">
        <v>24</v>
      </c>
      <c r="G290" s="39">
        <v>3970.08</v>
      </c>
      <c r="H290" s="39">
        <v>5096.4799999999996</v>
      </c>
      <c r="I290" s="39" t="s">
        <v>25</v>
      </c>
      <c r="J290" s="47">
        <v>0.13</v>
      </c>
      <c r="K290" s="39" t="s">
        <v>26</v>
      </c>
      <c r="L290" s="39" t="s">
        <v>34</v>
      </c>
      <c r="M290" s="39" t="s">
        <v>35</v>
      </c>
      <c r="N290" s="39">
        <f t="shared" si="17"/>
        <v>22169.687999999998</v>
      </c>
      <c r="O290" s="39">
        <f t="shared" si="18"/>
        <v>19850.400000000001</v>
      </c>
      <c r="P290" s="39">
        <f t="shared" si="19"/>
        <v>2319.2879999999968</v>
      </c>
    </row>
    <row r="291" spans="1:16" x14ac:dyDescent="0.35">
      <c r="A291" s="39" t="s">
        <v>485</v>
      </c>
      <c r="B291" s="45">
        <v>45067</v>
      </c>
      <c r="C291" s="45" t="str">
        <f t="shared" si="16"/>
        <v>May</v>
      </c>
      <c r="D291" s="39" t="s">
        <v>22</v>
      </c>
      <c r="E291" s="39">
        <v>26</v>
      </c>
      <c r="F291" s="46" t="s">
        <v>45</v>
      </c>
      <c r="G291" s="39">
        <v>2041.42</v>
      </c>
      <c r="H291" s="39">
        <v>3291.17</v>
      </c>
      <c r="I291" s="39" t="s">
        <v>25</v>
      </c>
      <c r="J291" s="47">
        <v>0.28000000000000003</v>
      </c>
      <c r="K291" s="39" t="s">
        <v>26</v>
      </c>
      <c r="L291" s="39" t="s">
        <v>27</v>
      </c>
      <c r="M291" s="39" t="s">
        <v>35</v>
      </c>
      <c r="N291" s="39">
        <f t="shared" si="17"/>
        <v>61610.702399999995</v>
      </c>
      <c r="O291" s="39">
        <f t="shared" si="18"/>
        <v>53076.92</v>
      </c>
      <c r="P291" s="39">
        <f t="shared" si="19"/>
        <v>8533.7823999999964</v>
      </c>
    </row>
    <row r="292" spans="1:16" x14ac:dyDescent="0.35">
      <c r="A292" s="39" t="s">
        <v>486</v>
      </c>
      <c r="B292" s="45">
        <v>45141</v>
      </c>
      <c r="C292" s="45" t="str">
        <f t="shared" si="16"/>
        <v>Aug</v>
      </c>
      <c r="D292" s="39" t="s">
        <v>38</v>
      </c>
      <c r="E292" s="39">
        <v>20</v>
      </c>
      <c r="F292" s="46" t="s">
        <v>39</v>
      </c>
      <c r="G292" s="39">
        <v>2153.52</v>
      </c>
      <c r="H292" s="39">
        <v>2303.6999999999998</v>
      </c>
      <c r="I292" s="39" t="s">
        <v>25</v>
      </c>
      <c r="J292" s="47">
        <v>0.01</v>
      </c>
      <c r="K292" s="39" t="s">
        <v>26</v>
      </c>
      <c r="L292" s="39" t="s">
        <v>34</v>
      </c>
      <c r="M292" s="39" t="s">
        <v>41</v>
      </c>
      <c r="N292" s="39">
        <f t="shared" si="17"/>
        <v>45613.26</v>
      </c>
      <c r="O292" s="39">
        <f t="shared" si="18"/>
        <v>43070.400000000001</v>
      </c>
      <c r="P292" s="39">
        <f t="shared" si="19"/>
        <v>2542.8600000000006</v>
      </c>
    </row>
    <row r="293" spans="1:16" x14ac:dyDescent="0.35">
      <c r="A293" s="39" t="s">
        <v>487</v>
      </c>
      <c r="B293" s="45">
        <v>45137</v>
      </c>
      <c r="C293" s="45" t="str">
        <f t="shared" si="16"/>
        <v>Jul</v>
      </c>
      <c r="D293" s="39" t="s">
        <v>81</v>
      </c>
      <c r="E293" s="39">
        <v>6</v>
      </c>
      <c r="F293" s="46" t="s">
        <v>24</v>
      </c>
      <c r="G293" s="39">
        <v>1945.27</v>
      </c>
      <c r="H293" s="39">
        <v>2309.4299999999998</v>
      </c>
      <c r="I293" s="39" t="s">
        <v>46</v>
      </c>
      <c r="J293" s="47">
        <v>0.26</v>
      </c>
      <c r="K293" s="39" t="s">
        <v>47</v>
      </c>
      <c r="L293" s="39" t="s">
        <v>34</v>
      </c>
      <c r="M293" s="39" t="s">
        <v>28</v>
      </c>
      <c r="N293" s="39">
        <f t="shared" si="17"/>
        <v>10253.869199999999</v>
      </c>
      <c r="O293" s="39">
        <f t="shared" si="18"/>
        <v>11671.619999999999</v>
      </c>
      <c r="P293" s="39">
        <f t="shared" si="19"/>
        <v>-1417.7507999999998</v>
      </c>
    </row>
    <row r="294" spans="1:16" x14ac:dyDescent="0.35">
      <c r="A294" s="39" t="s">
        <v>488</v>
      </c>
      <c r="B294" s="45">
        <v>45244</v>
      </c>
      <c r="C294" s="45" t="str">
        <f t="shared" si="16"/>
        <v>Nov</v>
      </c>
      <c r="D294" s="39" t="s">
        <v>81</v>
      </c>
      <c r="E294" s="39">
        <v>6</v>
      </c>
      <c r="F294" s="46" t="s">
        <v>45</v>
      </c>
      <c r="G294" s="39">
        <v>3609.42</v>
      </c>
      <c r="H294" s="39">
        <v>4082.62</v>
      </c>
      <c r="I294" s="39" t="s">
        <v>25</v>
      </c>
      <c r="J294" s="47">
        <v>0.3</v>
      </c>
      <c r="K294" s="39" t="s">
        <v>40</v>
      </c>
      <c r="L294" s="39" t="s">
        <v>27</v>
      </c>
      <c r="M294" s="39" t="s">
        <v>35</v>
      </c>
      <c r="N294" s="39">
        <f t="shared" si="17"/>
        <v>17147.004000000001</v>
      </c>
      <c r="O294" s="39">
        <f t="shared" si="18"/>
        <v>21656.52</v>
      </c>
      <c r="P294" s="39">
        <f t="shared" si="19"/>
        <v>-4509.5159999999996</v>
      </c>
    </row>
    <row r="295" spans="1:16" x14ac:dyDescent="0.35">
      <c r="A295" s="39" t="s">
        <v>489</v>
      </c>
      <c r="B295" s="45">
        <v>44958</v>
      </c>
      <c r="C295" s="45" t="str">
        <f t="shared" si="16"/>
        <v>Feb</v>
      </c>
      <c r="D295" s="39" t="s">
        <v>22</v>
      </c>
      <c r="E295" s="39">
        <v>18</v>
      </c>
      <c r="F295" s="46" t="s">
        <v>24</v>
      </c>
      <c r="G295" s="39">
        <v>2760.21</v>
      </c>
      <c r="H295" s="39">
        <v>3219.58</v>
      </c>
      <c r="I295" s="39" t="s">
        <v>46</v>
      </c>
      <c r="J295" s="47">
        <v>0.27</v>
      </c>
      <c r="K295" s="39" t="s">
        <v>40</v>
      </c>
      <c r="L295" s="39" t="s">
        <v>34</v>
      </c>
      <c r="M295" s="39" t="s">
        <v>35</v>
      </c>
      <c r="N295" s="39">
        <f t="shared" si="17"/>
        <v>42305.281199999998</v>
      </c>
      <c r="O295" s="39">
        <f t="shared" si="18"/>
        <v>49683.78</v>
      </c>
      <c r="P295" s="39">
        <f t="shared" si="19"/>
        <v>-7378.4988000000012</v>
      </c>
    </row>
    <row r="296" spans="1:16" x14ac:dyDescent="0.35">
      <c r="A296" s="39" t="s">
        <v>490</v>
      </c>
      <c r="B296" s="45">
        <v>45084</v>
      </c>
      <c r="C296" s="45" t="str">
        <f t="shared" si="16"/>
        <v>Jun</v>
      </c>
      <c r="D296" s="39" t="s">
        <v>22</v>
      </c>
      <c r="E296" s="39">
        <v>4</v>
      </c>
      <c r="F296" s="46" t="s">
        <v>39</v>
      </c>
      <c r="G296" s="39">
        <v>4721.7</v>
      </c>
      <c r="H296" s="39">
        <v>5017.58</v>
      </c>
      <c r="I296" s="39" t="s">
        <v>46</v>
      </c>
      <c r="J296" s="47">
        <v>0.24</v>
      </c>
      <c r="K296" s="39" t="s">
        <v>26</v>
      </c>
      <c r="L296" s="39" t="s">
        <v>34</v>
      </c>
      <c r="M296" s="39" t="s">
        <v>41</v>
      </c>
      <c r="N296" s="39">
        <f t="shared" si="17"/>
        <v>15253.4432</v>
      </c>
      <c r="O296" s="39">
        <f t="shared" si="18"/>
        <v>18886.8</v>
      </c>
      <c r="P296" s="39">
        <f t="shared" si="19"/>
        <v>-3633.3567999999996</v>
      </c>
    </row>
    <row r="297" spans="1:16" x14ac:dyDescent="0.35">
      <c r="A297" s="39" t="s">
        <v>491</v>
      </c>
      <c r="B297" s="45">
        <v>45211</v>
      </c>
      <c r="C297" s="45" t="str">
        <f t="shared" si="16"/>
        <v>Oct</v>
      </c>
      <c r="D297" s="39" t="s">
        <v>32</v>
      </c>
      <c r="E297" s="39">
        <v>17</v>
      </c>
      <c r="F297" s="46" t="s">
        <v>45</v>
      </c>
      <c r="G297" s="39">
        <v>1291.9100000000001</v>
      </c>
      <c r="H297" s="39">
        <v>1528.59</v>
      </c>
      <c r="I297" s="39" t="s">
        <v>25</v>
      </c>
      <c r="J297" s="47">
        <v>0.11</v>
      </c>
      <c r="K297" s="39" t="s">
        <v>47</v>
      </c>
      <c r="L297" s="39" t="s">
        <v>34</v>
      </c>
      <c r="M297" s="39" t="s">
        <v>35</v>
      </c>
      <c r="N297" s="39">
        <f t="shared" si="17"/>
        <v>23127.566699999999</v>
      </c>
      <c r="O297" s="39">
        <f t="shared" si="18"/>
        <v>21962.47</v>
      </c>
      <c r="P297" s="39">
        <f t="shared" si="19"/>
        <v>1165.0966999999982</v>
      </c>
    </row>
    <row r="298" spans="1:16" x14ac:dyDescent="0.35">
      <c r="A298" s="39" t="s">
        <v>492</v>
      </c>
      <c r="B298" s="45">
        <v>45231</v>
      </c>
      <c r="C298" s="45" t="str">
        <f t="shared" si="16"/>
        <v>Nov</v>
      </c>
      <c r="D298" s="39" t="s">
        <v>32</v>
      </c>
      <c r="E298" s="39">
        <v>14</v>
      </c>
      <c r="F298" s="46" t="s">
        <v>39</v>
      </c>
      <c r="G298" s="39">
        <v>547.79</v>
      </c>
      <c r="H298" s="39">
        <v>958.76</v>
      </c>
      <c r="I298" s="39" t="s">
        <v>25</v>
      </c>
      <c r="J298" s="47">
        <v>7.0000000000000007E-2</v>
      </c>
      <c r="K298" s="39" t="s">
        <v>47</v>
      </c>
      <c r="L298" s="39" t="s">
        <v>34</v>
      </c>
      <c r="M298" s="39" t="s">
        <v>28</v>
      </c>
      <c r="N298" s="39">
        <f t="shared" si="17"/>
        <v>12483.055199999999</v>
      </c>
      <c r="O298" s="39">
        <f t="shared" si="18"/>
        <v>7669.0599999999995</v>
      </c>
      <c r="P298" s="39">
        <f t="shared" si="19"/>
        <v>4813.9951999999994</v>
      </c>
    </row>
    <row r="299" spans="1:16" x14ac:dyDescent="0.35">
      <c r="A299" s="39" t="s">
        <v>494</v>
      </c>
      <c r="B299" s="45">
        <v>45212</v>
      </c>
      <c r="C299" s="45" t="str">
        <f t="shared" si="16"/>
        <v>Oct</v>
      </c>
      <c r="D299" s="39" t="s">
        <v>38</v>
      </c>
      <c r="E299" s="39">
        <v>14</v>
      </c>
      <c r="F299" s="46" t="s">
        <v>39</v>
      </c>
      <c r="G299" s="39">
        <v>1996.64</v>
      </c>
      <c r="H299" s="39">
        <v>2341.4699999999998</v>
      </c>
      <c r="I299" s="39" t="s">
        <v>25</v>
      </c>
      <c r="J299" s="47">
        <v>0.22</v>
      </c>
      <c r="K299" s="39" t="s">
        <v>47</v>
      </c>
      <c r="L299" s="39" t="s">
        <v>27</v>
      </c>
      <c r="M299" s="39" t="s">
        <v>41</v>
      </c>
      <c r="N299" s="39">
        <f t="shared" si="17"/>
        <v>25568.852399999996</v>
      </c>
      <c r="O299" s="39">
        <f t="shared" si="18"/>
        <v>27952.960000000003</v>
      </c>
      <c r="P299" s="39">
        <f t="shared" si="19"/>
        <v>-2384.1076000000066</v>
      </c>
    </row>
    <row r="300" spans="1:16" x14ac:dyDescent="0.35">
      <c r="A300" s="39" t="s">
        <v>495</v>
      </c>
      <c r="B300" s="45">
        <v>45070</v>
      </c>
      <c r="C300" s="45" t="str">
        <f t="shared" si="16"/>
        <v>May</v>
      </c>
      <c r="D300" s="39" t="s">
        <v>22</v>
      </c>
      <c r="E300" s="39">
        <v>13</v>
      </c>
      <c r="F300" s="46" t="s">
        <v>39</v>
      </c>
      <c r="G300" s="39">
        <v>3102.73</v>
      </c>
      <c r="H300" s="39">
        <v>3202.68</v>
      </c>
      <c r="I300" s="39" t="s">
        <v>46</v>
      </c>
      <c r="J300" s="47">
        <v>0.09</v>
      </c>
      <c r="K300" s="39" t="s">
        <v>26</v>
      </c>
      <c r="L300" s="39" t="s">
        <v>34</v>
      </c>
      <c r="M300" s="39" t="s">
        <v>28</v>
      </c>
      <c r="N300" s="39">
        <f t="shared" si="17"/>
        <v>37887.704399999995</v>
      </c>
      <c r="O300" s="39">
        <f t="shared" si="18"/>
        <v>40335.49</v>
      </c>
      <c r="P300" s="39">
        <f t="shared" si="19"/>
        <v>-2447.7856000000029</v>
      </c>
    </row>
    <row r="301" spans="1:16" x14ac:dyDescent="0.35">
      <c r="A301" s="39" t="s">
        <v>496</v>
      </c>
      <c r="B301" s="45">
        <v>44945</v>
      </c>
      <c r="C301" s="45" t="str">
        <f t="shared" si="16"/>
        <v>Jan</v>
      </c>
      <c r="D301" s="39" t="s">
        <v>81</v>
      </c>
      <c r="E301" s="39">
        <v>7</v>
      </c>
      <c r="F301" s="46" t="s">
        <v>45</v>
      </c>
      <c r="G301" s="39">
        <v>4310.95</v>
      </c>
      <c r="H301" s="39">
        <v>4723.2</v>
      </c>
      <c r="I301" s="39" t="s">
        <v>25</v>
      </c>
      <c r="J301" s="47">
        <v>0.05</v>
      </c>
      <c r="K301" s="39" t="s">
        <v>47</v>
      </c>
      <c r="L301" s="39" t="s">
        <v>27</v>
      </c>
      <c r="M301" s="39" t="s">
        <v>28</v>
      </c>
      <c r="N301" s="39">
        <f t="shared" si="17"/>
        <v>31409.279999999999</v>
      </c>
      <c r="O301" s="39">
        <f t="shared" si="18"/>
        <v>30176.649999999998</v>
      </c>
      <c r="P301" s="39">
        <f t="shared" si="19"/>
        <v>1232.630000000001</v>
      </c>
    </row>
  </sheetData>
  <conditionalFormatting sqref="N1:N1048576">
    <cfRule type="top10" dxfId="5" priority="8" percent="1" rank="10"/>
  </conditionalFormatting>
  <conditionalFormatting sqref="A1:P301">
    <cfRule type="expression" dxfId="4" priority="4">
      <formula>$M1="Delivered"</formula>
    </cfRule>
  </conditionalFormatting>
  <conditionalFormatting sqref="J1:J1048576">
    <cfRule type="top10" dxfId="3" priority="3" percent="1" rank="10"/>
  </conditionalFormatting>
  <conditionalFormatting sqref="P1:P301">
    <cfRule type="top10" dxfId="2" priority="1" percent="1" rank="10"/>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4DC9-C1DD-4067-B5CB-E3250D30BF36}">
  <sheetPr>
    <tabColor theme="2" tint="-9.9978637043366805E-2"/>
  </sheetPr>
  <dimension ref="A1:O306"/>
  <sheetViews>
    <sheetView workbookViewId="0">
      <selection activeCell="K7" sqref="K7"/>
    </sheetView>
  </sheetViews>
  <sheetFormatPr defaultRowHeight="14.5" x14ac:dyDescent="0.35"/>
  <cols>
    <col min="1" max="1" width="10.26953125" bestFit="1" customWidth="1"/>
    <col min="7" max="7" width="14" bestFit="1" customWidth="1"/>
    <col min="8" max="8" width="12" bestFit="1" customWidth="1"/>
    <col min="11" max="11" width="10.08984375" bestFit="1" customWidth="1"/>
    <col min="12" max="12" width="16.08984375" bestFit="1" customWidth="1"/>
  </cols>
  <sheetData>
    <row r="1" spans="1:15" ht="25" x14ac:dyDescent="0.5">
      <c r="A1" s="52" t="s">
        <v>559</v>
      </c>
      <c r="B1" s="52"/>
      <c r="C1" s="52"/>
      <c r="K1" s="53" t="s">
        <v>564</v>
      </c>
      <c r="L1" s="53"/>
      <c r="M1" s="53"/>
      <c r="N1" s="53"/>
    </row>
    <row r="3" spans="1:15" x14ac:dyDescent="0.35">
      <c r="A3" s="54" t="s">
        <v>560</v>
      </c>
      <c r="B3" s="54"/>
      <c r="C3" s="54"/>
      <c r="D3" s="54"/>
      <c r="F3" s="54" t="s">
        <v>562</v>
      </c>
      <c r="G3" s="54"/>
      <c r="H3" s="54"/>
      <c r="I3" s="54"/>
      <c r="K3" s="54" t="s">
        <v>565</v>
      </c>
      <c r="L3" s="54"/>
      <c r="M3" s="54"/>
      <c r="N3" s="54"/>
    </row>
    <row r="4" spans="1:15" x14ac:dyDescent="0.35">
      <c r="F4" s="54" t="s">
        <v>563</v>
      </c>
      <c r="G4" s="54"/>
      <c r="H4" s="54"/>
      <c r="I4" s="54"/>
      <c r="K4" s="54" t="s">
        <v>566</v>
      </c>
      <c r="L4" s="54"/>
      <c r="M4" s="54"/>
      <c r="N4" s="54"/>
    </row>
    <row r="5" spans="1:15" x14ac:dyDescent="0.35">
      <c r="A5" s="55" t="s">
        <v>1</v>
      </c>
      <c r="B5" s="55" t="s">
        <v>561</v>
      </c>
    </row>
    <row r="6" spans="1:15" x14ac:dyDescent="0.35">
      <c r="A6" s="32">
        <v>1052</v>
      </c>
      <c r="B6" s="32">
        <f>VLOOKUP('Cleaned data'!B2:B301,'Cleaned data'!B1:V301,12,0)</f>
        <v>692.71</v>
      </c>
      <c r="F6" s="55" t="s">
        <v>0</v>
      </c>
      <c r="G6" s="55" t="s">
        <v>12</v>
      </c>
      <c r="H6" s="55" t="s">
        <v>507</v>
      </c>
      <c r="K6" s="56" t="s">
        <v>0</v>
      </c>
      <c r="L6" s="57" t="s">
        <v>3</v>
      </c>
      <c r="M6" s="58" t="s">
        <v>13</v>
      </c>
    </row>
    <row r="7" spans="1:15" x14ac:dyDescent="0.35">
      <c r="A7" s="32">
        <v>1093</v>
      </c>
      <c r="B7" s="32">
        <f>VLOOKUP('Cleaned data'!B3:B302,'Cleaned data'!B2:V302,12,0)</f>
        <v>1106.51</v>
      </c>
      <c r="F7" s="32" t="s">
        <v>19</v>
      </c>
      <c r="G7" s="32" t="str">
        <f>VLOOKUP('Cleaned data'!$A$2:$A$301,'Cleaned data'!$A$1:$V$301,14,0)</f>
        <v>New</v>
      </c>
      <c r="H7" s="32" t="str">
        <f>VLOOKUP('Cleaned data'!A2:A301,'Cleaned data'!A1:V301,17,0)</f>
        <v>Online</v>
      </c>
      <c r="K7" s="41" t="s">
        <v>163</v>
      </c>
      <c r="L7" s="42" t="str">
        <f>INDEX('Cleaned data'!E1:E301,MATCH(K7,'Cleaned data'!A1:A301,0))</f>
        <v>Anita Iyer</v>
      </c>
      <c r="M7" s="43">
        <f>INDEX('Cleaned data'!O1:O301,MATCH(K7,'Cleaned data'!A1:A301,0))</f>
        <v>0.06</v>
      </c>
    </row>
    <row r="8" spans="1:15" x14ac:dyDescent="0.35">
      <c r="A8" s="32">
        <v>1015</v>
      </c>
      <c r="B8" s="32">
        <f>VLOOKUP('Cleaned data'!B4:B303,'Cleaned data'!B3:V303,12,0)</f>
        <v>2824.09</v>
      </c>
      <c r="F8" s="32" t="s">
        <v>29</v>
      </c>
      <c r="G8" s="32" t="str">
        <f>VLOOKUP('Cleaned data'!$A$2:$A$301,'Cleaned data'!$A$1:$V$301,14,0)</f>
        <v>Returning</v>
      </c>
      <c r="H8" s="32" t="str">
        <f>VLOOKUP('Cleaned data'!A3:A302,'Cleaned data'!A2:V302,17,0)</f>
        <v>Offline</v>
      </c>
    </row>
    <row r="9" spans="1:15" x14ac:dyDescent="0.35">
      <c r="A9" s="32">
        <v>1072</v>
      </c>
      <c r="B9" s="32">
        <f>VLOOKUP('Cleaned data'!B5:B304,'Cleaned data'!B4:V304,12,0)</f>
        <v>3964.65</v>
      </c>
      <c r="F9" s="32" t="s">
        <v>36</v>
      </c>
      <c r="G9" s="32" t="str">
        <f>VLOOKUP('Cleaned data'!$A$2:$A$301,'Cleaned data'!$A$1:$V$301,14,0)</f>
        <v>New</v>
      </c>
      <c r="H9" s="32" t="str">
        <f>VLOOKUP('Cleaned data'!A4:A303,'Cleaned data'!A3:V303,17,0)</f>
        <v>Offline</v>
      </c>
      <c r="K9" s="36"/>
      <c r="L9" s="36"/>
      <c r="M9" s="36"/>
      <c r="N9" s="36"/>
      <c r="O9" s="36"/>
    </row>
    <row r="10" spans="1:15" x14ac:dyDescent="0.35">
      <c r="A10" s="32">
        <v>1061</v>
      </c>
      <c r="B10" s="32">
        <f>VLOOKUP('Cleaned data'!B6:B305,'Cleaned data'!B5:V305,12,0)</f>
        <v>1095.45</v>
      </c>
      <c r="F10" s="32" t="s">
        <v>42</v>
      </c>
      <c r="G10" s="32" t="str">
        <f>VLOOKUP('Cleaned data'!$A$2:$A$301,'Cleaned data'!$A$1:$V$301,14,0)</f>
        <v>New</v>
      </c>
      <c r="H10" s="32" t="str">
        <f>VLOOKUP('Cleaned data'!A5:A304,'Cleaned data'!A4:V304,17,0)</f>
        <v>Offline</v>
      </c>
    </row>
    <row r="11" spans="1:15" x14ac:dyDescent="0.35">
      <c r="A11" s="32">
        <v>1021</v>
      </c>
      <c r="B11" s="32">
        <f>VLOOKUP('Cleaned data'!B7:B306,'Cleaned data'!B6:V306,12,0)</f>
        <v>1095.45</v>
      </c>
      <c r="F11" s="32" t="s">
        <v>48</v>
      </c>
      <c r="G11" s="32" t="str">
        <f>VLOOKUP('Cleaned data'!$A$2:$A$301,'Cleaned data'!$A$1:$V$301,14,0)</f>
        <v>New</v>
      </c>
      <c r="H11" s="32" t="str">
        <f>VLOOKUP('Cleaned data'!A6:A305,'Cleaned data'!A5:V305,17,0)</f>
        <v>Offline</v>
      </c>
    </row>
    <row r="12" spans="1:15" x14ac:dyDescent="0.35">
      <c r="A12" s="32">
        <v>1083</v>
      </c>
      <c r="B12" s="32">
        <f>VLOOKUP('Cleaned data'!B8:B307,'Cleaned data'!B7:V307,12,0)</f>
        <v>2517.6</v>
      </c>
      <c r="F12" s="32" t="s">
        <v>52</v>
      </c>
      <c r="G12" s="32" t="str">
        <f>VLOOKUP('Cleaned data'!$A$2:$A$301,'Cleaned data'!$A$1:$V$301,14,0)</f>
        <v>New</v>
      </c>
      <c r="H12" s="32" t="str">
        <f>VLOOKUP('Cleaned data'!A7:A306,'Cleaned data'!A6:V306,17,0)</f>
        <v>Online</v>
      </c>
      <c r="L12" s="2"/>
    </row>
    <row r="13" spans="1:15" x14ac:dyDescent="0.35">
      <c r="A13" s="32">
        <v>1087</v>
      </c>
      <c r="B13" s="32">
        <f>VLOOKUP('Cleaned data'!B9:B308,'Cleaned data'!B8:V308,12,0)</f>
        <v>1137.44</v>
      </c>
      <c r="F13" s="32" t="s">
        <v>567</v>
      </c>
      <c r="G13" s="32" t="str">
        <f>VLOOKUP('Cleaned data'!$A$2:$A$301,'Cleaned data'!$A$1:$V$301,14,0)</f>
        <v>Returning</v>
      </c>
      <c r="H13" s="32" t="str">
        <f>VLOOKUP('Cleaned data'!A8:A307,'Cleaned data'!A7:V307,17,0)</f>
        <v>Online</v>
      </c>
      <c r="K13" s="2"/>
    </row>
    <row r="14" spans="1:15" x14ac:dyDescent="0.35">
      <c r="A14" s="32">
        <v>1075</v>
      </c>
      <c r="B14" s="32">
        <f>VLOOKUP('Cleaned data'!B10:B309,'Cleaned data'!B9:V309,12,0)</f>
        <v>641.09</v>
      </c>
      <c r="F14" s="32" t="s">
        <v>57</v>
      </c>
      <c r="G14" s="32" t="str">
        <f>VLOOKUP('Cleaned data'!$A$2:$A$301,'Cleaned data'!$A$1:$V$301,14,0)</f>
        <v>Returning</v>
      </c>
      <c r="H14" s="32" t="str">
        <f>VLOOKUP('Cleaned data'!A9:A308,'Cleaned data'!A8:V308,17,0)</f>
        <v>Online</v>
      </c>
      <c r="K14" s="32"/>
      <c r="L14" s="2"/>
    </row>
    <row r="15" spans="1:15" x14ac:dyDescent="0.35">
      <c r="A15" s="32">
        <v>1088</v>
      </c>
      <c r="B15" s="32">
        <f>VLOOKUP('Cleaned data'!B11:B310,'Cleaned data'!B10:V310,12,0)</f>
        <v>4270.6499999999996</v>
      </c>
      <c r="F15" s="32" t="s">
        <v>59</v>
      </c>
      <c r="G15" s="32" t="str">
        <f>VLOOKUP('Cleaned data'!$A$2:$A$301,'Cleaned data'!$A$1:$V$301,14,0)</f>
        <v>New</v>
      </c>
      <c r="H15" s="32" t="str">
        <f>VLOOKUP('Cleaned data'!A10:A309,'Cleaned data'!A9:V309,17,0)</f>
        <v>Online</v>
      </c>
    </row>
    <row r="16" spans="1:15" x14ac:dyDescent="0.35">
      <c r="A16" s="32">
        <v>1100</v>
      </c>
      <c r="B16" s="32">
        <f>VLOOKUP('Cleaned data'!B12:B311,'Cleaned data'!B11:V311,12,0)</f>
        <v>2869.6</v>
      </c>
      <c r="F16" s="32" t="s">
        <v>61</v>
      </c>
      <c r="G16" s="32" t="str">
        <f>VLOOKUP('Cleaned data'!$A$2:$A$301,'Cleaned data'!$A$1:$V$301,14,0)</f>
        <v>New</v>
      </c>
      <c r="H16" s="32" t="str">
        <f>VLOOKUP('Cleaned data'!A11:A310,'Cleaned data'!A10:V310,17,0)</f>
        <v>Online</v>
      </c>
    </row>
    <row r="17" spans="1:8" x14ac:dyDescent="0.35">
      <c r="A17" s="32">
        <v>1024</v>
      </c>
      <c r="B17" s="32">
        <f>VLOOKUP('Cleaned data'!B13:B312,'Cleaned data'!B12:V312,12,0)</f>
        <v>487.65</v>
      </c>
      <c r="F17" s="32" t="s">
        <v>63</v>
      </c>
      <c r="G17" s="32" t="str">
        <f>VLOOKUP('Cleaned data'!$A$2:$A$301,'Cleaned data'!$A$1:$V$301,14,0)</f>
        <v>New</v>
      </c>
      <c r="H17" s="32" t="str">
        <f>VLOOKUP('Cleaned data'!A12:A311,'Cleaned data'!A11:V311,17,0)</f>
        <v>Offline</v>
      </c>
    </row>
    <row r="18" spans="1:8" x14ac:dyDescent="0.35">
      <c r="A18" s="32">
        <v>1003</v>
      </c>
      <c r="B18" s="32">
        <f>VLOOKUP('Cleaned data'!B14:B313,'Cleaned data'!B13:V313,12,0)</f>
        <v>4420.1499999999996</v>
      </c>
      <c r="F18" s="32" t="s">
        <v>66</v>
      </c>
      <c r="G18" s="32" t="str">
        <f>VLOOKUP('Cleaned data'!$A$2:$A$301,'Cleaned data'!$A$1:$V$301,14,0)</f>
        <v>Returning</v>
      </c>
      <c r="H18" s="32" t="str">
        <f>VLOOKUP('Cleaned data'!A13:A312,'Cleaned data'!A12:V312,17,0)</f>
        <v>Offline</v>
      </c>
    </row>
    <row r="19" spans="1:8" x14ac:dyDescent="0.35">
      <c r="A19" s="32">
        <v>1022</v>
      </c>
      <c r="B19" s="32">
        <f>VLOOKUP('Cleaned data'!B15:B314,'Cleaned data'!B14:V314,12,0)</f>
        <v>5034.3500000000004</v>
      </c>
      <c r="F19" s="32" t="s">
        <v>68</v>
      </c>
      <c r="G19" s="32" t="str">
        <f>VLOOKUP('Cleaned data'!$A$2:$A$301,'Cleaned data'!$A$1:$V$301,14,0)</f>
        <v>New</v>
      </c>
      <c r="H19" s="32" t="str">
        <f>VLOOKUP('Cleaned data'!A14:A313,'Cleaned data'!A13:V313,17,0)</f>
        <v>Online</v>
      </c>
    </row>
    <row r="20" spans="1:8" x14ac:dyDescent="0.35">
      <c r="A20" s="32">
        <v>1053</v>
      </c>
      <c r="B20" s="32">
        <f>VLOOKUP('Cleaned data'!B16:B315,'Cleaned data'!B15:V315,12,0)</f>
        <v>3209.22</v>
      </c>
      <c r="F20" s="32" t="s">
        <v>69</v>
      </c>
      <c r="G20" s="32" t="str">
        <f>VLOOKUP('Cleaned data'!$A$2:$A$301,'Cleaned data'!$A$1:$V$301,14,0)</f>
        <v>Returning</v>
      </c>
      <c r="H20" s="32" t="str">
        <f>VLOOKUP('Cleaned data'!A15:A314,'Cleaned data'!A14:V314,17,0)</f>
        <v>Online</v>
      </c>
    </row>
    <row r="21" spans="1:8" x14ac:dyDescent="0.35">
      <c r="A21" s="32">
        <v>1002</v>
      </c>
      <c r="B21" s="32">
        <f>VLOOKUP('Cleaned data'!B17:B316,'Cleaned data'!B16:V316,12,0)</f>
        <v>2790.1</v>
      </c>
      <c r="F21" s="32" t="s">
        <v>71</v>
      </c>
      <c r="G21" s="32" t="str">
        <f>VLOOKUP('Cleaned data'!$A$2:$A$301,'Cleaned data'!$A$1:$V$301,14,0)</f>
        <v>Returning</v>
      </c>
      <c r="H21" s="32" t="str">
        <f>VLOOKUP('Cleaned data'!A16:A315,'Cleaned data'!A15:V315,17,0)</f>
        <v>Online</v>
      </c>
    </row>
    <row r="22" spans="1:8" x14ac:dyDescent="0.35">
      <c r="A22" s="32">
        <v>1030</v>
      </c>
      <c r="B22" s="32">
        <f>VLOOKUP('Cleaned data'!B18:B317,'Cleaned data'!B17:V317,12,0)</f>
        <v>4420.1499999999996</v>
      </c>
      <c r="F22" s="32" t="s">
        <v>73</v>
      </c>
      <c r="G22" s="32" t="str">
        <f>VLOOKUP('Cleaned data'!$A$2:$A$301,'Cleaned data'!$A$1:$V$301,14,0)</f>
        <v>New</v>
      </c>
      <c r="H22" s="32" t="str">
        <f>VLOOKUP('Cleaned data'!A17:A316,'Cleaned data'!A16:V316,17,0)</f>
        <v>Offline</v>
      </c>
    </row>
    <row r="23" spans="1:8" x14ac:dyDescent="0.35">
      <c r="A23" s="32">
        <v>1038</v>
      </c>
      <c r="B23" s="32">
        <f>VLOOKUP('Cleaned data'!B19:B318,'Cleaned data'!B18:V318,12,0)</f>
        <v>5074.42</v>
      </c>
      <c r="F23" s="32" t="s">
        <v>75</v>
      </c>
      <c r="G23" s="32" t="str">
        <f>VLOOKUP('Cleaned data'!$A$2:$A$301,'Cleaned data'!$A$1:$V$301,14,0)</f>
        <v>New</v>
      </c>
      <c r="H23" s="32" t="str">
        <f>VLOOKUP('Cleaned data'!A18:A317,'Cleaned data'!A17:V317,17,0)</f>
        <v>Online</v>
      </c>
    </row>
    <row r="24" spans="1:8" x14ac:dyDescent="0.35">
      <c r="A24" s="32">
        <v>1064</v>
      </c>
      <c r="B24" s="32">
        <f>VLOOKUP('Cleaned data'!B20:B319,'Cleaned data'!B19:V319,12,0)</f>
        <v>4276.99</v>
      </c>
      <c r="F24" s="32" t="s">
        <v>77</v>
      </c>
      <c r="G24" s="32" t="str">
        <f>VLOOKUP('Cleaned data'!$A$2:$A$301,'Cleaned data'!$A$1:$V$301,14,0)</f>
        <v>New</v>
      </c>
      <c r="H24" s="32" t="str">
        <f>VLOOKUP('Cleaned data'!A19:A318,'Cleaned data'!A18:V318,17,0)</f>
        <v>Online</v>
      </c>
    </row>
    <row r="25" spans="1:8" x14ac:dyDescent="0.35">
      <c r="A25" s="32">
        <v>1060</v>
      </c>
      <c r="B25" s="32">
        <f>VLOOKUP('Cleaned data'!B21:B320,'Cleaned data'!B20:V320,12,0)</f>
        <v>2741.79</v>
      </c>
      <c r="F25" s="32" t="s">
        <v>79</v>
      </c>
      <c r="G25" s="32" t="str">
        <f>VLOOKUP('Cleaned data'!$A$2:$A$301,'Cleaned data'!$A$1:$V$301,14,0)</f>
        <v>Returning</v>
      </c>
      <c r="H25" s="32" t="str">
        <f>VLOOKUP('Cleaned data'!A20:A319,'Cleaned data'!A19:V319,17,0)</f>
        <v>Online</v>
      </c>
    </row>
    <row r="26" spans="1:8" x14ac:dyDescent="0.35">
      <c r="A26" s="32">
        <v>1033</v>
      </c>
      <c r="B26" s="32">
        <f>VLOOKUP('Cleaned data'!B22:B321,'Cleaned data'!B21:V321,12,0)</f>
        <v>4860.3999999999996</v>
      </c>
      <c r="F26" s="32" t="s">
        <v>82</v>
      </c>
      <c r="G26" s="32" t="str">
        <f>VLOOKUP('Cleaned data'!$A$2:$A$301,'Cleaned data'!$A$1:$V$301,14,0)</f>
        <v>Returning</v>
      </c>
      <c r="H26" s="32" t="str">
        <f>VLOOKUP('Cleaned data'!A21:A320,'Cleaned data'!A20:V320,17,0)</f>
        <v>Offline</v>
      </c>
    </row>
    <row r="27" spans="1:8" x14ac:dyDescent="0.35">
      <c r="A27" s="32">
        <v>1076</v>
      </c>
      <c r="B27" s="32">
        <f>VLOOKUP('Cleaned data'!B23:B322,'Cleaned data'!B22:V322,12,0)</f>
        <v>4774.6499999999996</v>
      </c>
      <c r="F27" s="32" t="s">
        <v>84</v>
      </c>
      <c r="G27" s="32" t="str">
        <f>VLOOKUP('Cleaned data'!$A$2:$A$301,'Cleaned data'!$A$1:$V$301,14,0)</f>
        <v>New</v>
      </c>
      <c r="H27" s="32" t="str">
        <f>VLOOKUP('Cleaned data'!A22:A321,'Cleaned data'!A21:V321,17,0)</f>
        <v>Online</v>
      </c>
    </row>
    <row r="28" spans="1:8" x14ac:dyDescent="0.35">
      <c r="A28" s="32">
        <v>1058</v>
      </c>
      <c r="B28" s="32">
        <f>VLOOKUP('Cleaned data'!B24:B323,'Cleaned data'!B23:V323,12,0)</f>
        <v>1084.28</v>
      </c>
      <c r="F28" s="32" t="s">
        <v>85</v>
      </c>
      <c r="G28" s="32" t="str">
        <f>VLOOKUP('Cleaned data'!$A$2:$A$301,'Cleaned data'!$A$1:$V$301,14,0)</f>
        <v>Returning</v>
      </c>
      <c r="H28" s="32" t="str">
        <f>VLOOKUP('Cleaned data'!A23:A322,'Cleaned data'!A22:V322,17,0)</f>
        <v>Offline</v>
      </c>
    </row>
    <row r="29" spans="1:8" x14ac:dyDescent="0.35">
      <c r="A29" s="32">
        <v>1089</v>
      </c>
      <c r="B29" s="32">
        <f>VLOOKUP('Cleaned data'!B25:B324,'Cleaned data'!B24:V324,12,0)</f>
        <v>2558.9499999999998</v>
      </c>
      <c r="F29" s="32" t="s">
        <v>87</v>
      </c>
      <c r="G29" s="32" t="str">
        <f>VLOOKUP('Cleaned data'!$A$2:$A$301,'Cleaned data'!$A$1:$V$301,14,0)</f>
        <v>New</v>
      </c>
      <c r="H29" s="32" t="str">
        <f>VLOOKUP('Cleaned data'!A24:A323,'Cleaned data'!A23:V323,17,0)</f>
        <v>Offline</v>
      </c>
    </row>
    <row r="30" spans="1:8" x14ac:dyDescent="0.35">
      <c r="A30" s="32">
        <v>1049</v>
      </c>
      <c r="B30" s="32">
        <f>VLOOKUP('Cleaned data'!B26:B325,'Cleaned data'!B25:V325,12,0)</f>
        <v>5214.5600000000004</v>
      </c>
      <c r="F30" s="32" t="s">
        <v>88</v>
      </c>
      <c r="G30" s="32" t="str">
        <f>VLOOKUP('Cleaned data'!$A$2:$A$301,'Cleaned data'!$A$1:$V$301,14,0)</f>
        <v>New</v>
      </c>
      <c r="H30" s="32" t="str">
        <f>VLOOKUP('Cleaned data'!A25:A324,'Cleaned data'!A24:V324,17,0)</f>
        <v>Offline</v>
      </c>
    </row>
    <row r="31" spans="1:8" x14ac:dyDescent="0.35">
      <c r="A31" s="32">
        <v>1091</v>
      </c>
      <c r="B31" s="32">
        <f>VLOOKUP('Cleaned data'!B27:B326,'Cleaned data'!B26:V326,12,0)</f>
        <v>3317.75</v>
      </c>
      <c r="F31" s="32" t="s">
        <v>90</v>
      </c>
      <c r="G31" s="32" t="str">
        <f>VLOOKUP('Cleaned data'!$A$2:$A$301,'Cleaned data'!$A$1:$V$301,14,0)</f>
        <v>Returning</v>
      </c>
      <c r="H31" s="32" t="str">
        <f>VLOOKUP('Cleaned data'!A26:A325,'Cleaned data'!A25:V325,17,0)</f>
        <v>Offline</v>
      </c>
    </row>
    <row r="32" spans="1:8" x14ac:dyDescent="0.35">
      <c r="A32" s="32">
        <v>1059</v>
      </c>
      <c r="B32" s="32">
        <f>VLOOKUP('Cleaned data'!B28:B327,'Cleaned data'!B27:V327,12,0)</f>
        <v>2406.58</v>
      </c>
      <c r="F32" s="32" t="s">
        <v>92</v>
      </c>
      <c r="G32" s="32" t="str">
        <f>VLOOKUP('Cleaned data'!$A$2:$A$301,'Cleaned data'!$A$1:$V$301,14,0)</f>
        <v>Returning</v>
      </c>
      <c r="H32" s="32" t="str">
        <f>VLOOKUP('Cleaned data'!A27:A326,'Cleaned data'!A26:V326,17,0)</f>
        <v>Offline</v>
      </c>
    </row>
    <row r="33" spans="1:8" x14ac:dyDescent="0.35">
      <c r="A33" s="32">
        <v>1042</v>
      </c>
      <c r="B33" s="32">
        <f>VLOOKUP('Cleaned data'!B29:B328,'Cleaned data'!B28:V328,12,0)</f>
        <v>3764.52</v>
      </c>
      <c r="F33" s="32" t="s">
        <v>94</v>
      </c>
      <c r="G33" s="32" t="str">
        <f>VLOOKUP('Cleaned data'!$A$2:$A$301,'Cleaned data'!$A$1:$V$301,14,0)</f>
        <v>Returning</v>
      </c>
      <c r="H33" s="32" t="str">
        <f>VLOOKUP('Cleaned data'!A28:A327,'Cleaned data'!A27:V327,17,0)</f>
        <v>Offline</v>
      </c>
    </row>
    <row r="34" spans="1:8" x14ac:dyDescent="0.35">
      <c r="A34" s="32">
        <v>1092</v>
      </c>
      <c r="B34" s="32">
        <f>VLOOKUP('Cleaned data'!B30:B329,'Cleaned data'!B29:V329,12,0)</f>
        <v>814.14</v>
      </c>
      <c r="F34" s="32" t="s">
        <v>96</v>
      </c>
      <c r="G34" s="32" t="str">
        <f>VLOOKUP('Cleaned data'!$A$2:$A$301,'Cleaned data'!$A$1:$V$301,14,0)</f>
        <v>Returning</v>
      </c>
      <c r="H34" s="32" t="str">
        <f>VLOOKUP('Cleaned data'!A29:A328,'Cleaned data'!A28:V328,17,0)</f>
        <v>Online</v>
      </c>
    </row>
    <row r="35" spans="1:8" x14ac:dyDescent="0.35">
      <c r="A35" s="32">
        <v>1080</v>
      </c>
      <c r="B35" s="32">
        <f>VLOOKUP('Cleaned data'!B31:B330,'Cleaned data'!B30:V330,12,0)</f>
        <v>2238.65</v>
      </c>
      <c r="F35" s="32" t="s">
        <v>98</v>
      </c>
      <c r="G35" s="32" t="str">
        <f>VLOOKUP('Cleaned data'!$A$2:$A$301,'Cleaned data'!$A$1:$V$301,14,0)</f>
        <v>New</v>
      </c>
      <c r="H35" s="32" t="str">
        <f>VLOOKUP('Cleaned data'!A30:A329,'Cleaned data'!A29:V329,17,0)</f>
        <v>Online</v>
      </c>
    </row>
    <row r="36" spans="1:8" x14ac:dyDescent="0.35">
      <c r="A36" s="32">
        <v>1062</v>
      </c>
      <c r="B36" s="32">
        <f>VLOOKUP('Cleaned data'!B32:B331,'Cleaned data'!B31:V331,12,0)</f>
        <v>4422.59</v>
      </c>
      <c r="F36" s="32" t="s">
        <v>101</v>
      </c>
      <c r="G36" s="32" t="str">
        <f>VLOOKUP('Cleaned data'!$A$2:$A$301,'Cleaned data'!$A$1:$V$301,14,0)</f>
        <v>New</v>
      </c>
      <c r="H36" s="32" t="str">
        <f>VLOOKUP('Cleaned data'!A31:A330,'Cleaned data'!A30:V330,17,0)</f>
        <v>Online</v>
      </c>
    </row>
    <row r="37" spans="1:8" x14ac:dyDescent="0.35">
      <c r="A37" s="32">
        <v>1047</v>
      </c>
      <c r="B37" s="32">
        <f>VLOOKUP('Cleaned data'!B33:B332,'Cleaned data'!B32:V332,12,0)</f>
        <v>1550.19</v>
      </c>
      <c r="F37" s="32" t="s">
        <v>103</v>
      </c>
      <c r="G37" s="32" t="str">
        <f>VLOOKUP('Cleaned data'!$A$2:$A$301,'Cleaned data'!$A$1:$V$301,14,0)</f>
        <v>New</v>
      </c>
      <c r="H37" s="32" t="str">
        <f>VLOOKUP('Cleaned data'!A32:A331,'Cleaned data'!A31:V331,17,0)</f>
        <v>Offline</v>
      </c>
    </row>
    <row r="38" spans="1:8" x14ac:dyDescent="0.35">
      <c r="A38" s="32">
        <v>1051</v>
      </c>
      <c r="B38" s="32">
        <f>VLOOKUP('Cleaned data'!B34:B333,'Cleaned data'!B33:V333,12,0)</f>
        <v>1330.84</v>
      </c>
      <c r="F38" s="32" t="s">
        <v>105</v>
      </c>
      <c r="G38" s="32" t="str">
        <f>VLOOKUP('Cleaned data'!$A$2:$A$301,'Cleaned data'!$A$1:$V$301,14,0)</f>
        <v>Returning</v>
      </c>
      <c r="H38" s="32" t="str">
        <f>VLOOKUP('Cleaned data'!A33:A332,'Cleaned data'!A32:V332,17,0)</f>
        <v>Online</v>
      </c>
    </row>
    <row r="39" spans="1:8" x14ac:dyDescent="0.35">
      <c r="A39" s="32">
        <v>1055</v>
      </c>
      <c r="B39" s="32">
        <f>VLOOKUP('Cleaned data'!B35:B334,'Cleaned data'!B34:V334,12,0)</f>
        <v>4888.46</v>
      </c>
      <c r="F39" s="32" t="s">
        <v>107</v>
      </c>
      <c r="G39" s="32" t="str">
        <f>VLOOKUP('Cleaned data'!$A$2:$A$301,'Cleaned data'!$A$1:$V$301,14,0)</f>
        <v>New</v>
      </c>
      <c r="H39" s="32" t="str">
        <f>VLOOKUP('Cleaned data'!A34:A333,'Cleaned data'!A33:V333,17,0)</f>
        <v>Offline</v>
      </c>
    </row>
    <row r="40" spans="1:8" x14ac:dyDescent="0.35">
      <c r="A40" s="32">
        <v>1007</v>
      </c>
      <c r="B40" s="32">
        <f>VLOOKUP('Cleaned data'!B36:B335,'Cleaned data'!B35:V335,12,0)</f>
        <v>4888.46</v>
      </c>
      <c r="F40" s="32" t="s">
        <v>109</v>
      </c>
      <c r="G40" s="32" t="str">
        <f>VLOOKUP('Cleaned data'!$A$2:$A$301,'Cleaned data'!$A$1:$V$301,14,0)</f>
        <v>Returning</v>
      </c>
      <c r="H40" s="32" t="str">
        <f>VLOOKUP('Cleaned data'!A35:A334,'Cleaned data'!A34:V334,17,0)</f>
        <v>Offline</v>
      </c>
    </row>
    <row r="41" spans="1:8" x14ac:dyDescent="0.35">
      <c r="A41" s="32">
        <v>1073</v>
      </c>
      <c r="B41" s="32">
        <f>VLOOKUP('Cleaned data'!B37:B336,'Cleaned data'!B36:V336,12,0)</f>
        <v>1427.21</v>
      </c>
      <c r="F41" s="32" t="s">
        <v>111</v>
      </c>
      <c r="G41" s="32" t="str">
        <f>VLOOKUP('Cleaned data'!$A$2:$A$301,'Cleaned data'!$A$1:$V$301,14,0)</f>
        <v>Returning</v>
      </c>
      <c r="H41" s="32" t="str">
        <f>VLOOKUP('Cleaned data'!A36:A335,'Cleaned data'!A35:V335,17,0)</f>
        <v>Offline</v>
      </c>
    </row>
    <row r="42" spans="1:8" x14ac:dyDescent="0.35">
      <c r="A42" s="32">
        <v>1039</v>
      </c>
      <c r="B42" s="32">
        <f>VLOOKUP('Cleaned data'!B38:B337,'Cleaned data'!B37:V337,12,0)</f>
        <v>4888.46</v>
      </c>
      <c r="F42" s="32" t="s">
        <v>113</v>
      </c>
      <c r="G42" s="32" t="str">
        <f>VLOOKUP('Cleaned data'!$A$2:$A$301,'Cleaned data'!$A$1:$V$301,14,0)</f>
        <v>Returning</v>
      </c>
      <c r="H42" s="32" t="str">
        <f>VLOOKUP('Cleaned data'!A37:A336,'Cleaned data'!A36:V336,17,0)</f>
        <v>Online</v>
      </c>
    </row>
    <row r="43" spans="1:8" x14ac:dyDescent="0.35">
      <c r="A43" s="32">
        <v>1018</v>
      </c>
      <c r="B43" s="32">
        <f>VLOOKUP('Cleaned data'!B39:B338,'Cleaned data'!B38:V338,12,0)</f>
        <v>3710.92</v>
      </c>
      <c r="F43" s="32" t="s">
        <v>114</v>
      </c>
      <c r="G43" s="32" t="str">
        <f>VLOOKUP('Cleaned data'!$A$2:$A$301,'Cleaned data'!$A$1:$V$301,14,0)</f>
        <v>New</v>
      </c>
      <c r="H43" s="32" t="str">
        <f>VLOOKUP('Cleaned data'!A38:A337,'Cleaned data'!A37:V337,17,0)</f>
        <v>Offline</v>
      </c>
    </row>
    <row r="44" spans="1:8" x14ac:dyDescent="0.35">
      <c r="A44" s="32">
        <v>1004</v>
      </c>
      <c r="B44" s="32">
        <f>VLOOKUP('Cleaned data'!B40:B339,'Cleaned data'!B39:V339,12,0)</f>
        <v>3838.42</v>
      </c>
      <c r="F44" s="32" t="s">
        <v>116</v>
      </c>
      <c r="G44" s="32" t="str">
        <f>VLOOKUP('Cleaned data'!$A$2:$A$301,'Cleaned data'!$A$1:$V$301,14,0)</f>
        <v>Returning</v>
      </c>
      <c r="H44" s="32" t="str">
        <f>VLOOKUP('Cleaned data'!A39:A338,'Cleaned data'!A38:V338,17,0)</f>
        <v>Offline</v>
      </c>
    </row>
    <row r="45" spans="1:8" x14ac:dyDescent="0.35">
      <c r="A45" s="32">
        <v>1014</v>
      </c>
      <c r="B45" s="32">
        <f>VLOOKUP('Cleaned data'!B41:B340,'Cleaned data'!B40:V340,12,0)</f>
        <v>4417.79</v>
      </c>
      <c r="F45" s="38" t="s">
        <v>118</v>
      </c>
      <c r="G45" s="38" t="str">
        <f>VLOOKUP('Cleaned data'!$A$2:$A$301,'Cleaned data'!$A$1:$V$301,14,0)</f>
        <v>Returning</v>
      </c>
      <c r="H45" s="38" t="str">
        <f>VLOOKUP('Cleaned data'!A40:A339,'Cleaned data'!A39:V339,17,0)</f>
        <v>Online</v>
      </c>
    </row>
    <row r="46" spans="1:8" x14ac:dyDescent="0.35">
      <c r="A46" s="32">
        <v>1009</v>
      </c>
      <c r="B46" s="32">
        <f>VLOOKUP('Cleaned data'!B42:B341,'Cleaned data'!B41:V341,12,0)</f>
        <v>853.66</v>
      </c>
      <c r="F46" s="39"/>
      <c r="G46" s="39"/>
      <c r="H46" s="39"/>
    </row>
    <row r="47" spans="1:8" x14ac:dyDescent="0.35">
      <c r="A47" s="32">
        <v>1090</v>
      </c>
      <c r="B47" s="32">
        <f>VLOOKUP('Cleaned data'!B43:B342,'Cleaned data'!B42:V342,12,0)</f>
        <v>3710.92</v>
      </c>
      <c r="F47" s="39"/>
      <c r="G47" s="39"/>
      <c r="H47" s="39"/>
    </row>
    <row r="48" spans="1:8" x14ac:dyDescent="0.35">
      <c r="A48" s="32">
        <v>1084</v>
      </c>
      <c r="B48" s="32">
        <f>VLOOKUP('Cleaned data'!B44:B343,'Cleaned data'!B43:V343,12,0)</f>
        <v>2637.91</v>
      </c>
      <c r="F48" s="39"/>
      <c r="G48" s="39"/>
      <c r="H48" s="39"/>
    </row>
    <row r="49" spans="1:8" x14ac:dyDescent="0.35">
      <c r="A49" s="32">
        <v>1071</v>
      </c>
      <c r="B49" s="32">
        <f>VLOOKUP('Cleaned data'!B45:B344,'Cleaned data'!B44:V344,12,0)</f>
        <v>4469.07</v>
      </c>
      <c r="F49" s="39"/>
      <c r="G49" s="39"/>
      <c r="H49" s="39"/>
    </row>
    <row r="50" spans="1:8" x14ac:dyDescent="0.35">
      <c r="A50" s="32">
        <v>1044</v>
      </c>
      <c r="B50" s="32">
        <f>VLOOKUP('Cleaned data'!B46:B345,'Cleaned data'!B45:V345,12,0)</f>
        <v>3007.47</v>
      </c>
      <c r="F50" s="39"/>
      <c r="G50" s="39"/>
      <c r="H50" s="39"/>
    </row>
    <row r="51" spans="1:8" x14ac:dyDescent="0.35">
      <c r="A51" s="32">
        <v>1008</v>
      </c>
      <c r="B51" s="32">
        <f>VLOOKUP('Cleaned data'!B47:B346,'Cleaned data'!B46:V346,12,0)</f>
        <v>3600.14</v>
      </c>
      <c r="F51" s="39"/>
      <c r="G51" s="39"/>
      <c r="H51" s="39"/>
    </row>
    <row r="52" spans="1:8" x14ac:dyDescent="0.35">
      <c r="A52" s="32">
        <v>1035</v>
      </c>
      <c r="B52" s="32">
        <f>VLOOKUP('Cleaned data'!B48:B347,'Cleaned data'!B47:V347,12,0)</f>
        <v>2519.0700000000002</v>
      </c>
      <c r="F52" s="39"/>
      <c r="G52" s="39"/>
      <c r="H52" s="39"/>
    </row>
    <row r="53" spans="1:8" x14ac:dyDescent="0.35">
      <c r="A53" s="32">
        <v>1078</v>
      </c>
      <c r="B53" s="32">
        <f>VLOOKUP('Cleaned data'!B49:B348,'Cleaned data'!B48:V348,12,0)</f>
        <v>2778.4</v>
      </c>
      <c r="F53" s="39"/>
      <c r="G53" s="39"/>
      <c r="H53" s="39"/>
    </row>
    <row r="54" spans="1:8" x14ac:dyDescent="0.35">
      <c r="A54" s="32">
        <v>1081</v>
      </c>
      <c r="B54" s="32">
        <f>VLOOKUP('Cleaned data'!B50:B349,'Cleaned data'!B49:V349,12,0)</f>
        <v>4186.9799999999996</v>
      </c>
      <c r="F54" s="39"/>
      <c r="G54" s="39"/>
      <c r="H54" s="39"/>
    </row>
    <row r="55" spans="1:8" x14ac:dyDescent="0.35">
      <c r="A55" s="32">
        <v>1036</v>
      </c>
      <c r="B55" s="32">
        <f>VLOOKUP('Cleaned data'!B51:B350,'Cleaned data'!B50:V350,12,0)</f>
        <v>3339.66</v>
      </c>
      <c r="F55" s="39"/>
      <c r="G55" s="39"/>
      <c r="H55" s="39"/>
    </row>
    <row r="56" spans="1:8" x14ac:dyDescent="0.35">
      <c r="A56" s="32">
        <v>1050</v>
      </c>
      <c r="B56" s="32">
        <f>VLOOKUP('Cleaned data'!B52:B351,'Cleaned data'!B51:V351,12,0)</f>
        <v>3204.01</v>
      </c>
      <c r="F56" s="39"/>
      <c r="G56" s="39"/>
      <c r="H56" s="39"/>
    </row>
    <row r="57" spans="1:8" x14ac:dyDescent="0.35">
      <c r="A57" s="32">
        <v>1006</v>
      </c>
      <c r="B57" s="32">
        <f>VLOOKUP('Cleaned data'!B53:B352,'Cleaned data'!B52:V352,12,0)</f>
        <v>2626.9</v>
      </c>
      <c r="F57" s="39"/>
      <c r="G57" s="39"/>
      <c r="H57" s="39"/>
    </row>
    <row r="58" spans="1:8" x14ac:dyDescent="0.35">
      <c r="A58" s="32">
        <v>1054</v>
      </c>
      <c r="B58" s="32">
        <f>VLOOKUP('Cleaned data'!B54:B353,'Cleaned data'!B53:V353,12,0)</f>
        <v>3152.28</v>
      </c>
      <c r="F58" s="39"/>
      <c r="G58" s="39"/>
      <c r="H58" s="39"/>
    </row>
    <row r="59" spans="1:8" x14ac:dyDescent="0.35">
      <c r="A59" s="32">
        <v>1063</v>
      </c>
      <c r="B59" s="32">
        <f>VLOOKUP('Cleaned data'!B55:B354,'Cleaned data'!B54:V354,12,0)</f>
        <v>4061.04</v>
      </c>
      <c r="F59" s="39"/>
      <c r="G59" s="39"/>
      <c r="H59" s="39"/>
    </row>
    <row r="60" spans="1:8" x14ac:dyDescent="0.35">
      <c r="A60" s="32">
        <v>1034</v>
      </c>
      <c r="B60" s="32">
        <f>VLOOKUP('Cleaned data'!B56:B355,'Cleaned data'!B55:V355,12,0)</f>
        <v>4361.7</v>
      </c>
      <c r="F60" s="39"/>
      <c r="G60" s="39"/>
      <c r="H60" s="39"/>
    </row>
    <row r="61" spans="1:8" x14ac:dyDescent="0.35">
      <c r="A61" s="32">
        <v>1074</v>
      </c>
      <c r="B61" s="32">
        <f>VLOOKUP('Cleaned data'!B57:B356,'Cleaned data'!B56:V356,12,0)</f>
        <v>3765.31</v>
      </c>
      <c r="F61" s="39"/>
      <c r="G61" s="39"/>
      <c r="H61" s="39"/>
    </row>
    <row r="62" spans="1:8" x14ac:dyDescent="0.35">
      <c r="A62" s="32">
        <v>1095</v>
      </c>
      <c r="B62" s="32">
        <f>VLOOKUP('Cleaned data'!B58:B357,'Cleaned data'!B57:V357,12,0)</f>
        <v>4731.9799999999996</v>
      </c>
      <c r="F62" s="39"/>
      <c r="G62" s="39"/>
      <c r="H62" s="39"/>
    </row>
    <row r="63" spans="1:8" x14ac:dyDescent="0.35">
      <c r="A63" s="32">
        <v>1048</v>
      </c>
      <c r="B63" s="32">
        <f>VLOOKUP('Cleaned data'!B59:B358,'Cleaned data'!B58:V358,12,0)</f>
        <v>4488.37</v>
      </c>
      <c r="F63" s="39"/>
      <c r="G63" s="39"/>
      <c r="H63" s="39"/>
    </row>
    <row r="64" spans="1:8" x14ac:dyDescent="0.35">
      <c r="A64" s="32">
        <v>1040</v>
      </c>
      <c r="B64" s="32">
        <f>VLOOKUP('Cleaned data'!B60:B359,'Cleaned data'!B59:V359,12,0)</f>
        <v>3206.98</v>
      </c>
      <c r="F64" s="39"/>
      <c r="G64" s="39"/>
      <c r="H64" s="39"/>
    </row>
    <row r="65" spans="1:8" x14ac:dyDescent="0.35">
      <c r="A65" s="32">
        <v>1085</v>
      </c>
      <c r="B65" s="32">
        <f>VLOOKUP('Cleaned data'!B61:B360,'Cleaned data'!B60:V360,12,0)</f>
        <v>4454.76</v>
      </c>
      <c r="F65" s="39"/>
      <c r="G65" s="39"/>
      <c r="H65" s="39"/>
    </row>
    <row r="66" spans="1:8" x14ac:dyDescent="0.35">
      <c r="A66" s="32">
        <v>1082</v>
      </c>
      <c r="B66" s="32">
        <f>VLOOKUP('Cleaned data'!B62:B361,'Cleaned data'!B61:V361,12,0)</f>
        <v>5075.4399999999996</v>
      </c>
      <c r="F66" s="39"/>
      <c r="G66" s="39"/>
      <c r="H66" s="39"/>
    </row>
    <row r="67" spans="1:8" x14ac:dyDescent="0.35">
      <c r="A67" s="32">
        <v>1026</v>
      </c>
      <c r="B67" s="32">
        <f>VLOOKUP('Cleaned data'!B63:B362,'Cleaned data'!B62:V362,12,0)</f>
        <v>5256.78</v>
      </c>
      <c r="F67" s="39"/>
      <c r="G67" s="39"/>
      <c r="H67" s="39"/>
    </row>
    <row r="68" spans="1:8" x14ac:dyDescent="0.35">
      <c r="A68" s="32">
        <v>1041</v>
      </c>
      <c r="B68" s="32">
        <f>VLOOKUP('Cleaned data'!B64:B363,'Cleaned data'!B63:V363,12,0)</f>
        <v>4624.1000000000004</v>
      </c>
      <c r="F68" s="39"/>
      <c r="G68" s="39"/>
      <c r="H68" s="39"/>
    </row>
    <row r="69" spans="1:8" x14ac:dyDescent="0.35">
      <c r="A69" s="32">
        <v>1029</v>
      </c>
      <c r="B69" s="32">
        <f>VLOOKUP('Cleaned data'!B65:B364,'Cleaned data'!B64:V364,12,0)</f>
        <v>3657.23</v>
      </c>
      <c r="F69" s="39"/>
      <c r="G69" s="39"/>
      <c r="H69" s="39"/>
    </row>
    <row r="70" spans="1:8" x14ac:dyDescent="0.35">
      <c r="A70" s="32">
        <v>1045</v>
      </c>
      <c r="B70" s="32">
        <f>VLOOKUP('Cleaned data'!B66:B365,'Cleaned data'!B65:V365,12,0)</f>
        <v>3879.24</v>
      </c>
      <c r="F70" s="39"/>
      <c r="G70" s="39"/>
      <c r="H70" s="39"/>
    </row>
    <row r="71" spans="1:8" x14ac:dyDescent="0.35">
      <c r="A71" s="32">
        <v>1065</v>
      </c>
      <c r="B71" s="32">
        <f>VLOOKUP('Cleaned data'!B67:B366,'Cleaned data'!B66:V366,12,0)</f>
        <v>1429.44</v>
      </c>
      <c r="F71" s="39"/>
      <c r="G71" s="39"/>
      <c r="H71" s="39"/>
    </row>
    <row r="72" spans="1:8" x14ac:dyDescent="0.35">
      <c r="A72" s="32">
        <v>1001</v>
      </c>
      <c r="B72" s="32">
        <f>VLOOKUP('Cleaned data'!B68:B367,'Cleaned data'!B67:V367,12,0)</f>
        <v>2384.38</v>
      </c>
      <c r="F72" s="39"/>
      <c r="G72" s="39"/>
      <c r="H72" s="39"/>
    </row>
    <row r="73" spans="1:8" x14ac:dyDescent="0.35">
      <c r="A73" s="32">
        <v>1011</v>
      </c>
      <c r="B73" s="32">
        <f>VLOOKUP('Cleaned data'!B69:B368,'Cleaned data'!B68:V368,12,0)</f>
        <v>5084.29</v>
      </c>
      <c r="F73" s="39"/>
      <c r="G73" s="39"/>
      <c r="H73" s="39"/>
    </row>
    <row r="74" spans="1:8" x14ac:dyDescent="0.35">
      <c r="A74" s="32">
        <v>1005</v>
      </c>
      <c r="B74" s="32">
        <f>VLOOKUP('Cleaned data'!B70:B369,'Cleaned data'!B69:V369,12,0)</f>
        <v>3599.27</v>
      </c>
      <c r="F74" s="39"/>
      <c r="G74" s="39"/>
      <c r="H74" s="39"/>
    </row>
    <row r="75" spans="1:8" x14ac:dyDescent="0.35">
      <c r="A75" s="32">
        <v>1028</v>
      </c>
      <c r="B75" s="32">
        <f>VLOOKUP('Cleaned data'!B71:B370,'Cleaned data'!B70:V370,12,0)</f>
        <v>3146.6</v>
      </c>
      <c r="F75" s="39"/>
      <c r="G75" s="39"/>
      <c r="H75" s="39"/>
    </row>
    <row r="76" spans="1:8" x14ac:dyDescent="0.35">
      <c r="A76" s="32">
        <v>1012</v>
      </c>
      <c r="B76" s="32">
        <f>VLOOKUP('Cleaned data'!B72:B371,'Cleaned data'!B71:V371,12,0)</f>
        <v>5040.22</v>
      </c>
      <c r="F76" s="39"/>
      <c r="G76" s="39"/>
      <c r="H76" s="39"/>
    </row>
    <row r="77" spans="1:8" x14ac:dyDescent="0.35">
      <c r="A77" s="32">
        <v>1023</v>
      </c>
      <c r="B77" s="32">
        <f>VLOOKUP('Cleaned data'!B73:B372,'Cleaned data'!B72:V372,12,0)</f>
        <v>5084.29</v>
      </c>
      <c r="F77" s="39"/>
      <c r="G77" s="39"/>
      <c r="H77" s="39"/>
    </row>
    <row r="78" spans="1:8" x14ac:dyDescent="0.35">
      <c r="A78" s="32">
        <v>1037</v>
      </c>
      <c r="B78" s="32">
        <f>VLOOKUP('Cleaned data'!B74:B373,'Cleaned data'!B73:V373,12,0)</f>
        <v>5040.22</v>
      </c>
      <c r="F78" s="39"/>
      <c r="G78" s="39"/>
      <c r="H78" s="39"/>
    </row>
    <row r="79" spans="1:8" x14ac:dyDescent="0.35">
      <c r="A79" s="32">
        <v>1099</v>
      </c>
      <c r="B79" s="32">
        <f>VLOOKUP('Cleaned data'!B75:B374,'Cleaned data'!B74:V374,12,0)</f>
        <v>4544.51</v>
      </c>
      <c r="F79" s="39"/>
      <c r="G79" s="39"/>
      <c r="H79" s="39"/>
    </row>
    <row r="80" spans="1:8" x14ac:dyDescent="0.35">
      <c r="A80" s="32">
        <v>1086</v>
      </c>
      <c r="B80" s="32">
        <f>VLOOKUP('Cleaned data'!B76:B375,'Cleaned data'!B75:V375,12,0)</f>
        <v>3931.25</v>
      </c>
      <c r="F80" s="39"/>
      <c r="G80" s="39"/>
      <c r="H80" s="39"/>
    </row>
    <row r="81" spans="1:8" x14ac:dyDescent="0.35">
      <c r="A81" s="32">
        <v>1027</v>
      </c>
      <c r="B81" s="32">
        <f>VLOOKUP('Cleaned data'!B77:B376,'Cleaned data'!B76:V376,12,0)</f>
        <v>2043.45</v>
      </c>
      <c r="F81" s="39"/>
      <c r="G81" s="39"/>
      <c r="H81" s="39"/>
    </row>
    <row r="82" spans="1:8" x14ac:dyDescent="0.35">
      <c r="A82" s="32">
        <v>1079</v>
      </c>
      <c r="B82" s="32">
        <f>VLOOKUP('Cleaned data'!B78:B377,'Cleaned data'!B77:V377,12,0)</f>
        <v>2839.73</v>
      </c>
      <c r="F82" s="39"/>
      <c r="G82" s="39"/>
      <c r="H82" s="39"/>
    </row>
    <row r="83" spans="1:8" x14ac:dyDescent="0.35">
      <c r="A83" s="32">
        <v>1077</v>
      </c>
      <c r="B83" s="32">
        <f>VLOOKUP('Cleaned data'!B79:B378,'Cleaned data'!B78:V378,12,0)</f>
        <v>2742.97</v>
      </c>
      <c r="F83" s="39"/>
      <c r="G83" s="39"/>
      <c r="H83" s="39"/>
    </row>
    <row r="84" spans="1:8" x14ac:dyDescent="0.35">
      <c r="A84" s="32">
        <v>1096</v>
      </c>
      <c r="B84" s="32">
        <f>VLOOKUP('Cleaned data'!B80:B379,'Cleaned data'!B79:V379,12,0)</f>
        <v>2180.83</v>
      </c>
      <c r="F84" s="39"/>
      <c r="G84" s="39"/>
      <c r="H84" s="39"/>
    </row>
    <row r="85" spans="1:8" x14ac:dyDescent="0.35">
      <c r="A85" s="32">
        <v>1094</v>
      </c>
      <c r="B85" s="32">
        <f>VLOOKUP('Cleaned data'!B81:B380,'Cleaned data'!B80:V380,12,0)</f>
        <v>3836.94</v>
      </c>
      <c r="F85" s="39"/>
      <c r="G85" s="39"/>
      <c r="H85" s="39"/>
    </row>
    <row r="86" spans="1:8" x14ac:dyDescent="0.35">
      <c r="A86" s="32">
        <v>1043</v>
      </c>
      <c r="B86" s="32">
        <f>VLOOKUP('Cleaned data'!B82:B381,'Cleaned data'!B81:V381,12,0)</f>
        <v>2168.91</v>
      </c>
      <c r="F86" s="39"/>
      <c r="G86" s="39"/>
      <c r="H86" s="39"/>
    </row>
    <row r="87" spans="1:8" x14ac:dyDescent="0.35">
      <c r="A87" s="32">
        <v>1013</v>
      </c>
      <c r="B87" s="32">
        <f>VLOOKUP('Cleaned data'!B83:B382,'Cleaned data'!B82:V382,12,0)</f>
        <v>1189.3499999999999</v>
      </c>
      <c r="F87" s="39"/>
      <c r="G87" s="39"/>
      <c r="H87" s="39"/>
    </row>
    <row r="88" spans="1:8" x14ac:dyDescent="0.35">
      <c r="A88" s="32">
        <v>1032</v>
      </c>
      <c r="B88" s="32">
        <f>VLOOKUP('Cleaned data'!B84:B383,'Cleaned data'!B83:V383,12,0)</f>
        <v>2527</v>
      </c>
      <c r="F88" s="39"/>
      <c r="G88" s="39"/>
      <c r="H88" s="39"/>
    </row>
    <row r="89" spans="1:8" x14ac:dyDescent="0.35">
      <c r="A89" s="32">
        <v>1066</v>
      </c>
      <c r="B89" s="32">
        <f>VLOOKUP('Cleaned data'!B85:B384,'Cleaned data'!B84:V384,12,0)</f>
        <v>860.95</v>
      </c>
      <c r="F89" s="39"/>
      <c r="G89" s="39"/>
      <c r="H89" s="39"/>
    </row>
    <row r="90" spans="1:8" x14ac:dyDescent="0.35">
      <c r="A90" s="32">
        <v>1057</v>
      </c>
      <c r="B90" s="32">
        <f>VLOOKUP('Cleaned data'!B86:B385,'Cleaned data'!B85:V385,12,0)</f>
        <v>2910.51</v>
      </c>
      <c r="F90" s="39"/>
      <c r="G90" s="39"/>
      <c r="H90" s="39"/>
    </row>
    <row r="91" spans="1:8" x14ac:dyDescent="0.35">
      <c r="A91" s="32">
        <v>1097</v>
      </c>
      <c r="B91" s="32">
        <f>VLOOKUP('Cleaned data'!B87:B386,'Cleaned data'!B86:V386,12,0)</f>
        <v>4576.72</v>
      </c>
      <c r="F91" s="39"/>
      <c r="G91" s="39"/>
      <c r="H91" s="39"/>
    </row>
    <row r="92" spans="1:8" x14ac:dyDescent="0.35">
      <c r="A92" s="32">
        <v>1070</v>
      </c>
      <c r="B92" s="32">
        <f>VLOOKUP('Cleaned data'!B88:B387,'Cleaned data'!B87:V387,12,0)</f>
        <v>4002.63</v>
      </c>
      <c r="F92" s="39"/>
      <c r="G92" s="39"/>
      <c r="H92" s="39"/>
    </row>
    <row r="93" spans="1:8" x14ac:dyDescent="0.35">
      <c r="A93" s="32">
        <v>1056</v>
      </c>
      <c r="B93" s="32">
        <f>VLOOKUP('Cleaned data'!B89:B388,'Cleaned data'!B88:V388,12,0)</f>
        <v>2147.14</v>
      </c>
      <c r="F93" s="39"/>
      <c r="G93" s="39"/>
      <c r="H93" s="39"/>
    </row>
    <row r="94" spans="1:8" x14ac:dyDescent="0.35">
      <c r="A94" s="32">
        <v>1019</v>
      </c>
      <c r="B94" s="32">
        <f>VLOOKUP('Cleaned data'!B90:B389,'Cleaned data'!B89:V389,12,0)</f>
        <v>531.02</v>
      </c>
      <c r="F94" s="39"/>
      <c r="G94" s="39"/>
      <c r="H94" s="39"/>
    </row>
    <row r="95" spans="1:8" x14ac:dyDescent="0.35">
      <c r="A95" s="32">
        <v>1068</v>
      </c>
      <c r="B95" s="32">
        <f>VLOOKUP('Cleaned data'!B91:B390,'Cleaned data'!B90:V390,12,0)</f>
        <v>1167.33</v>
      </c>
      <c r="F95" s="39"/>
      <c r="G95" s="39"/>
      <c r="H95" s="39"/>
    </row>
    <row r="96" spans="1:8" x14ac:dyDescent="0.35">
      <c r="A96" s="32">
        <v>1017</v>
      </c>
      <c r="B96" s="32">
        <f>VLOOKUP('Cleaned data'!B92:B391,'Cleaned data'!B91:V391,12,0)</f>
        <v>2882.85</v>
      </c>
      <c r="F96" s="39"/>
      <c r="G96" s="39"/>
      <c r="H96" s="39"/>
    </row>
    <row r="97" spans="1:8" x14ac:dyDescent="0.35">
      <c r="A97" s="32">
        <v>1069</v>
      </c>
      <c r="B97" s="32">
        <f>VLOOKUP('Cleaned data'!B93:B392,'Cleaned data'!B92:V392,12,0)</f>
        <v>1492.48</v>
      </c>
      <c r="F97" s="39"/>
      <c r="G97" s="39"/>
      <c r="H97" s="39"/>
    </row>
    <row r="98" spans="1:8" x14ac:dyDescent="0.35">
      <c r="A98" s="32">
        <v>1098</v>
      </c>
      <c r="B98" s="32">
        <f>VLOOKUP('Cleaned data'!B94:B393,'Cleaned data'!B93:V393,12,0)</f>
        <v>2979.64</v>
      </c>
      <c r="F98" s="39"/>
      <c r="G98" s="39"/>
      <c r="H98" s="39"/>
    </row>
    <row r="99" spans="1:8" x14ac:dyDescent="0.35">
      <c r="A99" s="32">
        <v>1016</v>
      </c>
      <c r="B99" s="32">
        <f>VLOOKUP('Cleaned data'!B95:B394,'Cleaned data'!B94:V394,12,0)</f>
        <v>1444.97</v>
      </c>
      <c r="F99" s="39"/>
      <c r="G99" s="39"/>
      <c r="H99" s="39"/>
    </row>
    <row r="100" spans="1:8" x14ac:dyDescent="0.35">
      <c r="A100" s="32">
        <v>1020</v>
      </c>
      <c r="B100" s="32">
        <f>VLOOKUP('Cleaned data'!B96:B395,'Cleaned data'!B95:V395,12,0)</f>
        <v>4720.2700000000004</v>
      </c>
      <c r="F100" s="39"/>
      <c r="G100" s="39"/>
      <c r="H100" s="39"/>
    </row>
    <row r="101" spans="1:8" x14ac:dyDescent="0.35">
      <c r="A101" s="32">
        <v>1067</v>
      </c>
      <c r="B101" s="32">
        <f>VLOOKUP('Cleaned data'!B97:B396,'Cleaned data'!B96:V396,12,0)</f>
        <v>2338.66</v>
      </c>
      <c r="F101" s="39"/>
      <c r="G101" s="39"/>
      <c r="H101" s="39"/>
    </row>
    <row r="102" spans="1:8" x14ac:dyDescent="0.35">
      <c r="A102" s="32">
        <v>1031</v>
      </c>
      <c r="B102" s="32">
        <f>VLOOKUP('Cleaned data'!B98:B397,'Cleaned data'!B97:V397,12,0)</f>
        <v>1715.83</v>
      </c>
      <c r="F102" s="39"/>
      <c r="G102" s="39"/>
      <c r="H102" s="39"/>
    </row>
    <row r="103" spans="1:8" x14ac:dyDescent="0.35">
      <c r="F103" s="39"/>
      <c r="G103" s="39"/>
      <c r="H103" s="39"/>
    </row>
    <row r="104" spans="1:8" x14ac:dyDescent="0.35">
      <c r="F104" s="39"/>
      <c r="G104" s="39"/>
      <c r="H104" s="39"/>
    </row>
    <row r="105" spans="1:8" x14ac:dyDescent="0.35">
      <c r="F105" s="39"/>
      <c r="G105" s="39"/>
      <c r="H105" s="39"/>
    </row>
    <row r="106" spans="1:8" x14ac:dyDescent="0.35">
      <c r="F106" s="39"/>
      <c r="G106" s="39"/>
      <c r="H106" s="39"/>
    </row>
    <row r="107" spans="1:8" x14ac:dyDescent="0.35">
      <c r="F107" s="39"/>
      <c r="G107" s="39"/>
      <c r="H107" s="39"/>
    </row>
    <row r="108" spans="1:8" x14ac:dyDescent="0.35">
      <c r="F108" s="39"/>
      <c r="G108" s="39"/>
      <c r="H108" s="39"/>
    </row>
    <row r="109" spans="1:8" x14ac:dyDescent="0.35">
      <c r="F109" s="39"/>
      <c r="G109" s="39"/>
      <c r="H109" s="39"/>
    </row>
    <row r="110" spans="1:8" x14ac:dyDescent="0.35">
      <c r="F110" s="39"/>
      <c r="G110" s="39"/>
      <c r="H110" s="39"/>
    </row>
    <row r="111" spans="1:8" x14ac:dyDescent="0.35">
      <c r="F111" s="39"/>
      <c r="G111" s="39"/>
      <c r="H111" s="39"/>
    </row>
    <row r="112" spans="1:8" x14ac:dyDescent="0.35">
      <c r="F112" s="39"/>
      <c r="G112" s="39"/>
      <c r="H112" s="39"/>
    </row>
    <row r="113" spans="6:8" x14ac:dyDescent="0.35">
      <c r="F113" s="39"/>
      <c r="G113" s="39"/>
      <c r="H113" s="39"/>
    </row>
    <row r="114" spans="6:8" x14ac:dyDescent="0.35">
      <c r="F114" s="39"/>
      <c r="G114" s="39"/>
      <c r="H114" s="39"/>
    </row>
    <row r="115" spans="6:8" x14ac:dyDescent="0.35">
      <c r="F115" s="39"/>
      <c r="G115" s="39"/>
      <c r="H115" s="39"/>
    </row>
    <row r="116" spans="6:8" x14ac:dyDescent="0.35">
      <c r="F116" s="39"/>
      <c r="G116" s="39"/>
      <c r="H116" s="39"/>
    </row>
    <row r="117" spans="6:8" x14ac:dyDescent="0.35">
      <c r="F117" s="39"/>
      <c r="G117" s="39"/>
      <c r="H117" s="39"/>
    </row>
    <row r="118" spans="6:8" x14ac:dyDescent="0.35">
      <c r="F118" s="39"/>
      <c r="G118" s="39"/>
      <c r="H118" s="39"/>
    </row>
    <row r="119" spans="6:8" x14ac:dyDescent="0.35">
      <c r="F119" s="39"/>
      <c r="G119" s="39"/>
      <c r="H119" s="39"/>
    </row>
    <row r="120" spans="6:8" x14ac:dyDescent="0.35">
      <c r="F120" s="39"/>
      <c r="G120" s="39"/>
      <c r="H120" s="39"/>
    </row>
    <row r="121" spans="6:8" x14ac:dyDescent="0.35">
      <c r="F121" s="39"/>
      <c r="G121" s="39"/>
      <c r="H121" s="39"/>
    </row>
    <row r="122" spans="6:8" x14ac:dyDescent="0.35">
      <c r="F122" s="39"/>
      <c r="G122" s="39"/>
      <c r="H122" s="39"/>
    </row>
    <row r="123" spans="6:8" x14ac:dyDescent="0.35">
      <c r="F123" s="39"/>
      <c r="G123" s="39"/>
      <c r="H123" s="39"/>
    </row>
    <row r="124" spans="6:8" x14ac:dyDescent="0.35">
      <c r="F124" s="39"/>
      <c r="G124" s="39"/>
      <c r="H124" s="39"/>
    </row>
    <row r="125" spans="6:8" x14ac:dyDescent="0.35">
      <c r="F125" s="39"/>
      <c r="G125" s="39"/>
      <c r="H125" s="39"/>
    </row>
    <row r="126" spans="6:8" x14ac:dyDescent="0.35">
      <c r="F126" s="39"/>
      <c r="G126" s="39"/>
      <c r="H126" s="39"/>
    </row>
    <row r="127" spans="6:8" x14ac:dyDescent="0.35">
      <c r="F127" s="39"/>
      <c r="G127" s="39"/>
      <c r="H127" s="39"/>
    </row>
    <row r="128" spans="6:8" x14ac:dyDescent="0.35">
      <c r="F128" s="39"/>
      <c r="G128" s="39"/>
      <c r="H128" s="39"/>
    </row>
    <row r="129" spans="6:8" x14ac:dyDescent="0.35">
      <c r="F129" s="39"/>
      <c r="G129" s="39"/>
      <c r="H129" s="39"/>
    </row>
    <row r="130" spans="6:8" x14ac:dyDescent="0.35">
      <c r="F130" s="39"/>
      <c r="G130" s="39"/>
      <c r="H130" s="39"/>
    </row>
    <row r="131" spans="6:8" x14ac:dyDescent="0.35">
      <c r="F131" s="39"/>
      <c r="G131" s="39"/>
      <c r="H131" s="39"/>
    </row>
    <row r="132" spans="6:8" x14ac:dyDescent="0.35">
      <c r="F132" s="39"/>
      <c r="G132" s="39"/>
      <c r="H132" s="39"/>
    </row>
    <row r="133" spans="6:8" x14ac:dyDescent="0.35">
      <c r="F133" s="39"/>
      <c r="G133" s="39"/>
      <c r="H133" s="39"/>
    </row>
    <row r="134" spans="6:8" x14ac:dyDescent="0.35">
      <c r="F134" s="39"/>
      <c r="G134" s="39"/>
      <c r="H134" s="39"/>
    </row>
    <row r="135" spans="6:8" x14ac:dyDescent="0.35">
      <c r="F135" s="39"/>
      <c r="G135" s="39"/>
      <c r="H135" s="39"/>
    </row>
    <row r="136" spans="6:8" x14ac:dyDescent="0.35">
      <c r="F136" s="39"/>
      <c r="G136" s="39"/>
      <c r="H136" s="39"/>
    </row>
    <row r="137" spans="6:8" x14ac:dyDescent="0.35">
      <c r="F137" s="39"/>
      <c r="G137" s="39"/>
      <c r="H137" s="39"/>
    </row>
    <row r="138" spans="6:8" x14ac:dyDescent="0.35">
      <c r="F138" s="39"/>
      <c r="G138" s="39"/>
      <c r="H138" s="39"/>
    </row>
    <row r="139" spans="6:8" x14ac:dyDescent="0.35">
      <c r="F139" s="39"/>
      <c r="G139" s="39"/>
      <c r="H139" s="39"/>
    </row>
    <row r="140" spans="6:8" x14ac:dyDescent="0.35">
      <c r="F140" s="39"/>
      <c r="G140" s="39"/>
      <c r="H140" s="39"/>
    </row>
    <row r="141" spans="6:8" x14ac:dyDescent="0.35">
      <c r="F141" s="39"/>
      <c r="G141" s="39"/>
      <c r="H141" s="39"/>
    </row>
    <row r="142" spans="6:8" x14ac:dyDescent="0.35">
      <c r="F142" s="39"/>
      <c r="G142" s="39"/>
      <c r="H142" s="39"/>
    </row>
    <row r="143" spans="6:8" x14ac:dyDescent="0.35">
      <c r="F143" s="39"/>
      <c r="G143" s="39"/>
      <c r="H143" s="39"/>
    </row>
    <row r="144" spans="6:8" x14ac:dyDescent="0.35">
      <c r="F144" s="39"/>
      <c r="G144" s="39"/>
      <c r="H144" s="39"/>
    </row>
    <row r="145" spans="6:8" x14ac:dyDescent="0.35">
      <c r="F145" s="39"/>
      <c r="G145" s="39"/>
      <c r="H145" s="39"/>
    </row>
    <row r="146" spans="6:8" x14ac:dyDescent="0.35">
      <c r="F146" s="39"/>
      <c r="G146" s="39"/>
      <c r="H146" s="39"/>
    </row>
    <row r="147" spans="6:8" x14ac:dyDescent="0.35">
      <c r="F147" s="39"/>
      <c r="G147" s="39"/>
      <c r="H147" s="39"/>
    </row>
    <row r="148" spans="6:8" x14ac:dyDescent="0.35">
      <c r="F148" s="39"/>
      <c r="G148" s="39"/>
      <c r="H148" s="39"/>
    </row>
    <row r="149" spans="6:8" x14ac:dyDescent="0.35">
      <c r="F149" s="39"/>
      <c r="G149" s="39"/>
      <c r="H149" s="39"/>
    </row>
    <row r="150" spans="6:8" x14ac:dyDescent="0.35">
      <c r="F150" s="39"/>
      <c r="G150" s="39"/>
      <c r="H150" s="39"/>
    </row>
    <row r="151" spans="6:8" x14ac:dyDescent="0.35">
      <c r="F151" s="39"/>
      <c r="G151" s="39"/>
      <c r="H151" s="39"/>
    </row>
    <row r="152" spans="6:8" x14ac:dyDescent="0.35">
      <c r="F152" s="39"/>
      <c r="G152" s="39"/>
      <c r="H152" s="39"/>
    </row>
    <row r="153" spans="6:8" x14ac:dyDescent="0.35">
      <c r="F153" s="39"/>
      <c r="G153" s="39"/>
      <c r="H153" s="39"/>
    </row>
    <row r="154" spans="6:8" x14ac:dyDescent="0.35">
      <c r="F154" s="39"/>
      <c r="G154" s="39"/>
      <c r="H154" s="39"/>
    </row>
    <row r="155" spans="6:8" x14ac:dyDescent="0.35">
      <c r="F155" s="39"/>
      <c r="G155" s="39"/>
      <c r="H155" s="39"/>
    </row>
    <row r="156" spans="6:8" x14ac:dyDescent="0.35">
      <c r="F156" s="39"/>
      <c r="G156" s="39"/>
      <c r="H156" s="39"/>
    </row>
    <row r="157" spans="6:8" x14ac:dyDescent="0.35">
      <c r="F157" s="39"/>
      <c r="G157" s="39"/>
      <c r="H157" s="39"/>
    </row>
    <row r="158" spans="6:8" x14ac:dyDescent="0.35">
      <c r="F158" s="39"/>
      <c r="G158" s="39"/>
      <c r="H158" s="39"/>
    </row>
    <row r="159" spans="6:8" x14ac:dyDescent="0.35">
      <c r="F159" s="39"/>
      <c r="G159" s="39"/>
      <c r="H159" s="39"/>
    </row>
    <row r="160" spans="6:8" x14ac:dyDescent="0.35">
      <c r="F160" s="39"/>
      <c r="G160" s="39"/>
      <c r="H160" s="39"/>
    </row>
    <row r="161" spans="6:8" x14ac:dyDescent="0.35">
      <c r="F161" s="39"/>
      <c r="G161" s="39"/>
      <c r="H161" s="39"/>
    </row>
    <row r="162" spans="6:8" x14ac:dyDescent="0.35">
      <c r="F162" s="39"/>
      <c r="G162" s="39"/>
      <c r="H162" s="39"/>
    </row>
    <row r="163" spans="6:8" x14ac:dyDescent="0.35">
      <c r="F163" s="39"/>
      <c r="G163" s="39"/>
      <c r="H163" s="39"/>
    </row>
    <row r="164" spans="6:8" x14ac:dyDescent="0.35">
      <c r="F164" s="39"/>
      <c r="G164" s="39"/>
      <c r="H164" s="39"/>
    </row>
    <row r="165" spans="6:8" x14ac:dyDescent="0.35">
      <c r="F165" s="39"/>
      <c r="G165" s="39"/>
      <c r="H165" s="39"/>
    </row>
    <row r="166" spans="6:8" x14ac:dyDescent="0.35">
      <c r="F166" s="39"/>
      <c r="G166" s="39"/>
      <c r="H166" s="39"/>
    </row>
    <row r="167" spans="6:8" x14ac:dyDescent="0.35">
      <c r="F167" s="39"/>
      <c r="G167" s="39"/>
      <c r="H167" s="39"/>
    </row>
    <row r="168" spans="6:8" x14ac:dyDescent="0.35">
      <c r="F168" s="39"/>
      <c r="G168" s="39"/>
      <c r="H168" s="39"/>
    </row>
    <row r="169" spans="6:8" x14ac:dyDescent="0.35">
      <c r="F169" s="39"/>
      <c r="G169" s="39"/>
      <c r="H169" s="39"/>
    </row>
    <row r="170" spans="6:8" x14ac:dyDescent="0.35">
      <c r="F170" s="39"/>
      <c r="G170" s="39"/>
      <c r="H170" s="39"/>
    </row>
    <row r="171" spans="6:8" x14ac:dyDescent="0.35">
      <c r="F171" s="39"/>
      <c r="G171" s="39"/>
      <c r="H171" s="39"/>
    </row>
    <row r="172" spans="6:8" x14ac:dyDescent="0.35">
      <c r="F172" s="39"/>
      <c r="G172" s="39"/>
      <c r="H172" s="39"/>
    </row>
    <row r="173" spans="6:8" x14ac:dyDescent="0.35">
      <c r="F173" s="39"/>
      <c r="G173" s="39"/>
      <c r="H173" s="39"/>
    </row>
    <row r="174" spans="6:8" x14ac:dyDescent="0.35">
      <c r="F174" s="39"/>
      <c r="G174" s="39"/>
      <c r="H174" s="39"/>
    </row>
    <row r="175" spans="6:8" x14ac:dyDescent="0.35">
      <c r="F175" s="39"/>
      <c r="G175" s="39"/>
      <c r="H175" s="39"/>
    </row>
    <row r="176" spans="6:8" x14ac:dyDescent="0.35">
      <c r="F176" s="39"/>
      <c r="G176" s="39"/>
      <c r="H176" s="39"/>
    </row>
    <row r="177" spans="6:8" x14ac:dyDescent="0.35">
      <c r="F177" s="39"/>
      <c r="G177" s="39"/>
      <c r="H177" s="39"/>
    </row>
    <row r="178" spans="6:8" x14ac:dyDescent="0.35">
      <c r="F178" s="39"/>
      <c r="G178" s="39"/>
      <c r="H178" s="39"/>
    </row>
    <row r="179" spans="6:8" x14ac:dyDescent="0.35">
      <c r="F179" s="39"/>
      <c r="G179" s="39"/>
      <c r="H179" s="39"/>
    </row>
    <row r="180" spans="6:8" x14ac:dyDescent="0.35">
      <c r="F180" s="39"/>
      <c r="G180" s="39"/>
      <c r="H180" s="39"/>
    </row>
    <row r="181" spans="6:8" x14ac:dyDescent="0.35">
      <c r="F181" s="39"/>
      <c r="G181" s="39"/>
      <c r="H181" s="39"/>
    </row>
    <row r="182" spans="6:8" x14ac:dyDescent="0.35">
      <c r="F182" s="39"/>
      <c r="G182" s="39"/>
      <c r="H182" s="39"/>
    </row>
    <row r="183" spans="6:8" x14ac:dyDescent="0.35">
      <c r="F183" s="39"/>
      <c r="G183" s="39"/>
      <c r="H183" s="39"/>
    </row>
    <row r="184" spans="6:8" x14ac:dyDescent="0.35">
      <c r="F184" s="39"/>
      <c r="G184" s="39"/>
      <c r="H184" s="39"/>
    </row>
    <row r="185" spans="6:8" x14ac:dyDescent="0.35">
      <c r="F185" s="39"/>
      <c r="G185" s="39"/>
      <c r="H185" s="39"/>
    </row>
    <row r="186" spans="6:8" x14ac:dyDescent="0.35">
      <c r="F186" s="39"/>
      <c r="G186" s="39"/>
      <c r="H186" s="39"/>
    </row>
    <row r="187" spans="6:8" x14ac:dyDescent="0.35">
      <c r="F187" s="39"/>
      <c r="G187" s="39"/>
      <c r="H187" s="39"/>
    </row>
    <row r="188" spans="6:8" x14ac:dyDescent="0.35">
      <c r="F188" s="39"/>
      <c r="G188" s="39"/>
      <c r="H188" s="39"/>
    </row>
    <row r="189" spans="6:8" x14ac:dyDescent="0.35">
      <c r="F189" s="39"/>
      <c r="G189" s="39"/>
      <c r="H189" s="39"/>
    </row>
    <row r="190" spans="6:8" x14ac:dyDescent="0.35">
      <c r="F190" s="39"/>
      <c r="G190" s="39"/>
      <c r="H190" s="39"/>
    </row>
    <row r="191" spans="6:8" x14ac:dyDescent="0.35">
      <c r="F191" s="39"/>
      <c r="G191" s="39"/>
      <c r="H191" s="39"/>
    </row>
    <row r="192" spans="6:8" x14ac:dyDescent="0.35">
      <c r="F192" s="39"/>
      <c r="G192" s="39"/>
      <c r="H192" s="39"/>
    </row>
    <row r="193" spans="6:8" x14ac:dyDescent="0.35">
      <c r="F193" s="39"/>
      <c r="G193" s="39"/>
      <c r="H193" s="39"/>
    </row>
    <row r="194" spans="6:8" x14ac:dyDescent="0.35">
      <c r="F194" s="39"/>
      <c r="G194" s="39"/>
      <c r="H194" s="39"/>
    </row>
    <row r="195" spans="6:8" x14ac:dyDescent="0.35">
      <c r="F195" s="39"/>
      <c r="G195" s="39"/>
      <c r="H195" s="39"/>
    </row>
    <row r="196" spans="6:8" x14ac:dyDescent="0.35">
      <c r="F196" s="39"/>
      <c r="G196" s="39"/>
      <c r="H196" s="39"/>
    </row>
    <row r="197" spans="6:8" x14ac:dyDescent="0.35">
      <c r="F197" s="39"/>
      <c r="G197" s="39"/>
      <c r="H197" s="39"/>
    </row>
    <row r="198" spans="6:8" x14ac:dyDescent="0.35">
      <c r="F198" s="39"/>
      <c r="G198" s="39"/>
      <c r="H198" s="39"/>
    </row>
    <row r="199" spans="6:8" x14ac:dyDescent="0.35">
      <c r="F199" s="39"/>
      <c r="G199" s="39"/>
      <c r="H199" s="39"/>
    </row>
    <row r="200" spans="6:8" x14ac:dyDescent="0.35">
      <c r="F200" s="39"/>
      <c r="G200" s="39"/>
      <c r="H200" s="39"/>
    </row>
    <row r="201" spans="6:8" x14ac:dyDescent="0.35">
      <c r="F201" s="39"/>
      <c r="G201" s="39"/>
      <c r="H201" s="39"/>
    </row>
    <row r="202" spans="6:8" x14ac:dyDescent="0.35">
      <c r="F202" s="39"/>
      <c r="G202" s="39"/>
      <c r="H202" s="39"/>
    </row>
    <row r="203" spans="6:8" x14ac:dyDescent="0.35">
      <c r="F203" s="39"/>
      <c r="G203" s="39"/>
      <c r="H203" s="39"/>
    </row>
    <row r="204" spans="6:8" x14ac:dyDescent="0.35">
      <c r="F204" s="39"/>
      <c r="G204" s="39"/>
      <c r="H204" s="39"/>
    </row>
    <row r="205" spans="6:8" x14ac:dyDescent="0.35">
      <c r="F205" s="39"/>
      <c r="G205" s="39"/>
      <c r="H205" s="39"/>
    </row>
    <row r="206" spans="6:8" x14ac:dyDescent="0.35">
      <c r="F206" s="39"/>
      <c r="G206" s="39"/>
      <c r="H206" s="39"/>
    </row>
    <row r="207" spans="6:8" x14ac:dyDescent="0.35">
      <c r="F207" s="39"/>
      <c r="G207" s="39"/>
      <c r="H207" s="39"/>
    </row>
    <row r="208" spans="6:8" x14ac:dyDescent="0.35">
      <c r="F208" s="39"/>
      <c r="G208" s="39"/>
      <c r="H208" s="39"/>
    </row>
    <row r="209" spans="6:8" x14ac:dyDescent="0.35">
      <c r="F209" s="39"/>
      <c r="G209" s="39"/>
      <c r="H209" s="39"/>
    </row>
    <row r="210" spans="6:8" x14ac:dyDescent="0.35">
      <c r="F210" s="39"/>
      <c r="G210" s="39"/>
      <c r="H210" s="39"/>
    </row>
    <row r="211" spans="6:8" x14ac:dyDescent="0.35">
      <c r="F211" s="39"/>
      <c r="G211" s="39"/>
      <c r="H211" s="39"/>
    </row>
    <row r="212" spans="6:8" x14ac:dyDescent="0.35">
      <c r="F212" s="39"/>
      <c r="G212" s="39"/>
      <c r="H212" s="39"/>
    </row>
    <row r="213" spans="6:8" x14ac:dyDescent="0.35">
      <c r="F213" s="39"/>
      <c r="G213" s="39"/>
      <c r="H213" s="39"/>
    </row>
    <row r="214" spans="6:8" x14ac:dyDescent="0.35">
      <c r="F214" s="39"/>
      <c r="G214" s="39"/>
      <c r="H214" s="39"/>
    </row>
    <row r="215" spans="6:8" x14ac:dyDescent="0.35">
      <c r="F215" s="39"/>
      <c r="G215" s="39"/>
      <c r="H215" s="39"/>
    </row>
    <row r="216" spans="6:8" x14ac:dyDescent="0.35">
      <c r="F216" s="39"/>
      <c r="G216" s="39"/>
      <c r="H216" s="39"/>
    </row>
    <row r="217" spans="6:8" x14ac:dyDescent="0.35">
      <c r="F217" s="39"/>
      <c r="G217" s="39"/>
      <c r="H217" s="39"/>
    </row>
    <row r="218" spans="6:8" x14ac:dyDescent="0.35">
      <c r="F218" s="39"/>
      <c r="G218" s="39"/>
      <c r="H218" s="39"/>
    </row>
    <row r="219" spans="6:8" x14ac:dyDescent="0.35">
      <c r="F219" s="39"/>
      <c r="G219" s="39"/>
      <c r="H219" s="39"/>
    </row>
    <row r="220" spans="6:8" x14ac:dyDescent="0.35">
      <c r="F220" s="39"/>
      <c r="G220" s="39"/>
      <c r="H220" s="39"/>
    </row>
    <row r="221" spans="6:8" x14ac:dyDescent="0.35">
      <c r="F221" s="39"/>
      <c r="G221" s="39"/>
      <c r="H221" s="39"/>
    </row>
    <row r="222" spans="6:8" x14ac:dyDescent="0.35">
      <c r="F222" s="39"/>
      <c r="G222" s="39"/>
      <c r="H222" s="39"/>
    </row>
    <row r="223" spans="6:8" x14ac:dyDescent="0.35">
      <c r="F223" s="39"/>
      <c r="G223" s="39"/>
      <c r="H223" s="39"/>
    </row>
    <row r="224" spans="6:8" x14ac:dyDescent="0.35">
      <c r="F224" s="39"/>
      <c r="G224" s="39"/>
      <c r="H224" s="39"/>
    </row>
    <row r="225" spans="6:8" x14ac:dyDescent="0.35">
      <c r="F225" s="39"/>
      <c r="G225" s="39"/>
      <c r="H225" s="39"/>
    </row>
    <row r="226" spans="6:8" x14ac:dyDescent="0.35">
      <c r="F226" s="39"/>
      <c r="G226" s="39"/>
      <c r="H226" s="39"/>
    </row>
    <row r="227" spans="6:8" x14ac:dyDescent="0.35">
      <c r="F227" s="39"/>
      <c r="G227" s="39"/>
      <c r="H227" s="39"/>
    </row>
    <row r="228" spans="6:8" x14ac:dyDescent="0.35">
      <c r="F228" s="39"/>
      <c r="G228" s="39"/>
      <c r="H228" s="39"/>
    </row>
    <row r="229" spans="6:8" x14ac:dyDescent="0.35">
      <c r="F229" s="39"/>
      <c r="G229" s="39"/>
      <c r="H229" s="39"/>
    </row>
    <row r="230" spans="6:8" x14ac:dyDescent="0.35">
      <c r="F230" s="39"/>
      <c r="G230" s="39"/>
      <c r="H230" s="39"/>
    </row>
    <row r="231" spans="6:8" x14ac:dyDescent="0.35">
      <c r="F231" s="39"/>
      <c r="G231" s="39"/>
      <c r="H231" s="39"/>
    </row>
    <row r="232" spans="6:8" x14ac:dyDescent="0.35">
      <c r="F232" s="39"/>
      <c r="G232" s="39"/>
      <c r="H232" s="39"/>
    </row>
    <row r="233" spans="6:8" x14ac:dyDescent="0.35">
      <c r="F233" s="39"/>
      <c r="G233" s="39"/>
      <c r="H233" s="39"/>
    </row>
    <row r="234" spans="6:8" x14ac:dyDescent="0.35">
      <c r="F234" s="39"/>
      <c r="G234" s="39"/>
      <c r="H234" s="39"/>
    </row>
    <row r="235" spans="6:8" x14ac:dyDescent="0.35">
      <c r="F235" s="39"/>
      <c r="G235" s="39"/>
      <c r="H235" s="39"/>
    </row>
    <row r="236" spans="6:8" x14ac:dyDescent="0.35">
      <c r="F236" s="39"/>
      <c r="G236" s="39"/>
      <c r="H236" s="39"/>
    </row>
    <row r="237" spans="6:8" x14ac:dyDescent="0.35">
      <c r="F237" s="39"/>
      <c r="G237" s="39"/>
      <c r="H237" s="39"/>
    </row>
    <row r="238" spans="6:8" x14ac:dyDescent="0.35">
      <c r="F238" s="39"/>
      <c r="G238" s="39"/>
      <c r="H238" s="39"/>
    </row>
    <row r="239" spans="6:8" x14ac:dyDescent="0.35">
      <c r="F239" s="39"/>
      <c r="G239" s="39"/>
      <c r="H239" s="39"/>
    </row>
    <row r="240" spans="6:8" x14ac:dyDescent="0.35">
      <c r="F240" s="39"/>
      <c r="G240" s="39"/>
      <c r="H240" s="39"/>
    </row>
    <row r="241" spans="6:8" x14ac:dyDescent="0.35">
      <c r="F241" s="39"/>
      <c r="G241" s="39"/>
      <c r="H241" s="39"/>
    </row>
    <row r="242" spans="6:8" x14ac:dyDescent="0.35">
      <c r="F242" s="39"/>
      <c r="G242" s="39"/>
      <c r="H242" s="39"/>
    </row>
    <row r="243" spans="6:8" x14ac:dyDescent="0.35">
      <c r="F243" s="39"/>
      <c r="G243" s="39"/>
      <c r="H243" s="39"/>
    </row>
    <row r="244" spans="6:8" x14ac:dyDescent="0.35">
      <c r="F244" s="39"/>
      <c r="G244" s="39"/>
      <c r="H244" s="39"/>
    </row>
    <row r="245" spans="6:8" x14ac:dyDescent="0.35">
      <c r="F245" s="39"/>
      <c r="G245" s="39"/>
      <c r="H245" s="39"/>
    </row>
    <row r="246" spans="6:8" x14ac:dyDescent="0.35">
      <c r="F246" s="39"/>
      <c r="G246" s="39"/>
      <c r="H246" s="39"/>
    </row>
    <row r="247" spans="6:8" x14ac:dyDescent="0.35">
      <c r="F247" s="39"/>
      <c r="G247" s="39"/>
      <c r="H247" s="39"/>
    </row>
    <row r="248" spans="6:8" x14ac:dyDescent="0.35">
      <c r="F248" s="39"/>
      <c r="G248" s="39"/>
      <c r="H248" s="39"/>
    </row>
    <row r="249" spans="6:8" x14ac:dyDescent="0.35">
      <c r="F249" s="39"/>
      <c r="G249" s="39"/>
      <c r="H249" s="39"/>
    </row>
    <row r="250" spans="6:8" x14ac:dyDescent="0.35">
      <c r="F250" s="39"/>
      <c r="G250" s="39"/>
      <c r="H250" s="39"/>
    </row>
    <row r="251" spans="6:8" x14ac:dyDescent="0.35">
      <c r="F251" s="39"/>
      <c r="G251" s="39"/>
      <c r="H251" s="39"/>
    </row>
    <row r="252" spans="6:8" x14ac:dyDescent="0.35">
      <c r="F252" s="39"/>
      <c r="G252" s="39"/>
      <c r="H252" s="39"/>
    </row>
    <row r="253" spans="6:8" x14ac:dyDescent="0.35">
      <c r="F253" s="39"/>
      <c r="G253" s="39"/>
      <c r="H253" s="39"/>
    </row>
    <row r="254" spans="6:8" x14ac:dyDescent="0.35">
      <c r="F254" s="39"/>
      <c r="G254" s="39"/>
      <c r="H254" s="39"/>
    </row>
    <row r="255" spans="6:8" x14ac:dyDescent="0.35">
      <c r="F255" s="39"/>
      <c r="G255" s="39"/>
      <c r="H255" s="39"/>
    </row>
    <row r="256" spans="6:8" x14ac:dyDescent="0.35">
      <c r="F256" s="39"/>
      <c r="G256" s="39"/>
      <c r="H256" s="39"/>
    </row>
    <row r="257" spans="6:8" x14ac:dyDescent="0.35">
      <c r="F257" s="39"/>
      <c r="G257" s="39"/>
      <c r="H257" s="39"/>
    </row>
    <row r="258" spans="6:8" x14ac:dyDescent="0.35">
      <c r="F258" s="39"/>
      <c r="G258" s="39"/>
      <c r="H258" s="39"/>
    </row>
    <row r="259" spans="6:8" x14ac:dyDescent="0.35">
      <c r="F259" s="39"/>
      <c r="G259" s="39"/>
      <c r="H259" s="39"/>
    </row>
    <row r="260" spans="6:8" x14ac:dyDescent="0.35">
      <c r="F260" s="39"/>
      <c r="G260" s="39"/>
      <c r="H260" s="39"/>
    </row>
    <row r="261" spans="6:8" x14ac:dyDescent="0.35">
      <c r="F261" s="39"/>
      <c r="G261" s="39"/>
      <c r="H261" s="39"/>
    </row>
    <row r="262" spans="6:8" x14ac:dyDescent="0.35">
      <c r="F262" s="39"/>
      <c r="G262" s="39"/>
      <c r="H262" s="39"/>
    </row>
    <row r="263" spans="6:8" x14ac:dyDescent="0.35">
      <c r="F263" s="39"/>
      <c r="G263" s="39"/>
      <c r="H263" s="39"/>
    </row>
    <row r="264" spans="6:8" x14ac:dyDescent="0.35">
      <c r="F264" s="39"/>
      <c r="G264" s="39"/>
      <c r="H264" s="39"/>
    </row>
    <row r="265" spans="6:8" x14ac:dyDescent="0.35">
      <c r="F265" s="39"/>
      <c r="G265" s="39"/>
      <c r="H265" s="39"/>
    </row>
    <row r="266" spans="6:8" x14ac:dyDescent="0.35">
      <c r="F266" s="39"/>
      <c r="G266" s="39"/>
      <c r="H266" s="39"/>
    </row>
    <row r="267" spans="6:8" x14ac:dyDescent="0.35">
      <c r="F267" s="39"/>
      <c r="G267" s="39"/>
      <c r="H267" s="39"/>
    </row>
    <row r="268" spans="6:8" x14ac:dyDescent="0.35">
      <c r="F268" s="39"/>
      <c r="G268" s="39"/>
      <c r="H268" s="39"/>
    </row>
    <row r="269" spans="6:8" x14ac:dyDescent="0.35">
      <c r="F269" s="39"/>
      <c r="G269" s="39"/>
      <c r="H269" s="39"/>
    </row>
    <row r="270" spans="6:8" x14ac:dyDescent="0.35">
      <c r="F270" s="39"/>
      <c r="G270" s="39"/>
      <c r="H270" s="39"/>
    </row>
    <row r="271" spans="6:8" x14ac:dyDescent="0.35">
      <c r="F271" s="39"/>
      <c r="G271" s="39"/>
      <c r="H271" s="39"/>
    </row>
    <row r="272" spans="6:8" x14ac:dyDescent="0.35">
      <c r="F272" s="39"/>
      <c r="G272" s="39"/>
      <c r="H272" s="39"/>
    </row>
    <row r="273" spans="6:8" x14ac:dyDescent="0.35">
      <c r="F273" s="39"/>
      <c r="G273" s="39"/>
      <c r="H273" s="39"/>
    </row>
    <row r="274" spans="6:8" x14ac:dyDescent="0.35">
      <c r="F274" s="39"/>
      <c r="G274" s="39"/>
      <c r="H274" s="39"/>
    </row>
    <row r="275" spans="6:8" x14ac:dyDescent="0.35">
      <c r="F275" s="39"/>
      <c r="G275" s="39"/>
      <c r="H275" s="39"/>
    </row>
    <row r="276" spans="6:8" x14ac:dyDescent="0.35">
      <c r="F276" s="39"/>
      <c r="G276" s="39"/>
      <c r="H276" s="39"/>
    </row>
    <row r="277" spans="6:8" x14ac:dyDescent="0.35">
      <c r="F277" s="39"/>
      <c r="G277" s="39"/>
      <c r="H277" s="39"/>
    </row>
    <row r="278" spans="6:8" x14ac:dyDescent="0.35">
      <c r="F278" s="39"/>
      <c r="G278" s="39"/>
      <c r="H278" s="39"/>
    </row>
    <row r="279" spans="6:8" x14ac:dyDescent="0.35">
      <c r="F279" s="39"/>
      <c r="G279" s="39"/>
      <c r="H279" s="39"/>
    </row>
    <row r="280" spans="6:8" x14ac:dyDescent="0.35">
      <c r="F280" s="39"/>
      <c r="G280" s="39"/>
      <c r="H280" s="39"/>
    </row>
    <row r="281" spans="6:8" x14ac:dyDescent="0.35">
      <c r="F281" s="39"/>
      <c r="G281" s="39"/>
      <c r="H281" s="39"/>
    </row>
    <row r="282" spans="6:8" x14ac:dyDescent="0.35">
      <c r="F282" s="39"/>
      <c r="G282" s="39"/>
      <c r="H282" s="39"/>
    </row>
    <row r="283" spans="6:8" x14ac:dyDescent="0.35">
      <c r="F283" s="39"/>
      <c r="G283" s="39"/>
      <c r="H283" s="39"/>
    </row>
    <row r="284" spans="6:8" x14ac:dyDescent="0.35">
      <c r="F284" s="39"/>
      <c r="G284" s="39"/>
      <c r="H284" s="39"/>
    </row>
    <row r="285" spans="6:8" x14ac:dyDescent="0.35">
      <c r="F285" s="39"/>
      <c r="G285" s="39"/>
      <c r="H285" s="39"/>
    </row>
    <row r="286" spans="6:8" x14ac:dyDescent="0.35">
      <c r="F286" s="39"/>
      <c r="G286" s="39"/>
      <c r="H286" s="39"/>
    </row>
    <row r="287" spans="6:8" x14ac:dyDescent="0.35">
      <c r="F287" s="39"/>
      <c r="G287" s="39"/>
      <c r="H287" s="39"/>
    </row>
    <row r="288" spans="6:8" x14ac:dyDescent="0.35">
      <c r="F288" s="39"/>
      <c r="G288" s="39"/>
      <c r="H288" s="39"/>
    </row>
    <row r="289" spans="6:8" x14ac:dyDescent="0.35">
      <c r="F289" s="39"/>
      <c r="G289" s="39"/>
      <c r="H289" s="39"/>
    </row>
    <row r="290" spans="6:8" x14ac:dyDescent="0.35">
      <c r="F290" s="39"/>
      <c r="G290" s="39"/>
      <c r="H290" s="39"/>
    </row>
    <row r="291" spans="6:8" x14ac:dyDescent="0.35">
      <c r="F291" s="39"/>
      <c r="G291" s="39"/>
      <c r="H291" s="39"/>
    </row>
    <row r="292" spans="6:8" x14ac:dyDescent="0.35">
      <c r="F292" s="39"/>
      <c r="G292" s="39"/>
      <c r="H292" s="39"/>
    </row>
    <row r="293" spans="6:8" x14ac:dyDescent="0.35">
      <c r="F293" s="39"/>
      <c r="G293" s="39"/>
      <c r="H293" s="39"/>
    </row>
    <row r="294" spans="6:8" x14ac:dyDescent="0.35">
      <c r="F294" s="39"/>
      <c r="G294" s="39"/>
      <c r="H294" s="39"/>
    </row>
    <row r="295" spans="6:8" x14ac:dyDescent="0.35">
      <c r="F295" s="39"/>
      <c r="G295" s="39"/>
      <c r="H295" s="39"/>
    </row>
    <row r="296" spans="6:8" x14ac:dyDescent="0.35">
      <c r="F296" s="39"/>
      <c r="G296" s="39"/>
      <c r="H296" s="39"/>
    </row>
    <row r="297" spans="6:8" x14ac:dyDescent="0.35">
      <c r="F297" s="39"/>
      <c r="G297" s="39"/>
      <c r="H297" s="39"/>
    </row>
    <row r="298" spans="6:8" x14ac:dyDescent="0.35">
      <c r="F298" s="39"/>
      <c r="G298" s="39"/>
      <c r="H298" s="39"/>
    </row>
    <row r="299" spans="6:8" x14ac:dyDescent="0.35">
      <c r="F299" s="39"/>
      <c r="G299" s="39"/>
      <c r="H299" s="39"/>
    </row>
    <row r="300" spans="6:8" x14ac:dyDescent="0.35">
      <c r="F300" s="39"/>
      <c r="G300" s="39"/>
      <c r="H300" s="39"/>
    </row>
    <row r="301" spans="6:8" x14ac:dyDescent="0.35">
      <c r="F301" s="39"/>
      <c r="G301" s="39"/>
      <c r="H301" s="39"/>
    </row>
    <row r="302" spans="6:8" x14ac:dyDescent="0.35">
      <c r="F302" s="39"/>
      <c r="G302" s="39"/>
      <c r="H302" s="39"/>
    </row>
    <row r="303" spans="6:8" x14ac:dyDescent="0.35">
      <c r="F303" s="39"/>
      <c r="G303" s="39"/>
      <c r="H303" s="39"/>
    </row>
    <row r="304" spans="6:8" x14ac:dyDescent="0.35">
      <c r="F304" s="39"/>
      <c r="G304" s="39"/>
      <c r="H304" s="39"/>
    </row>
    <row r="305" spans="6:8" x14ac:dyDescent="0.35">
      <c r="F305" s="39"/>
      <c r="G305" s="39"/>
      <c r="H305" s="39"/>
    </row>
    <row r="306" spans="6:8" x14ac:dyDescent="0.35">
      <c r="F306" s="39"/>
      <c r="G306" s="39"/>
      <c r="H306" s="39"/>
    </row>
  </sheetData>
  <mergeCells count="8">
    <mergeCell ref="K1:N1"/>
    <mergeCell ref="K3:N3"/>
    <mergeCell ref="K4:N4"/>
    <mergeCell ref="K9:O9"/>
    <mergeCell ref="A1:C1"/>
    <mergeCell ref="A3:D3"/>
    <mergeCell ref="F3:I3"/>
    <mergeCell ref="F4:I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AFE7DE9-67E9-4625-8FF1-92AE8E48F4CB}">
          <x14:formula1>
            <xm:f>'Cleaned data'!$A$1:$A$301</xm:f>
          </x14:formula1>
          <xm:sqref>K7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4792-737F-476C-A1A2-0B9862872D9D}">
  <sheetPr>
    <tabColor theme="5" tint="0.39997558519241921"/>
  </sheetPr>
  <dimension ref="A3:L34"/>
  <sheetViews>
    <sheetView workbookViewId="0">
      <selection activeCell="G22" sqref="G22:J22"/>
    </sheetView>
  </sheetViews>
  <sheetFormatPr defaultRowHeight="14.5" x14ac:dyDescent="0.35"/>
  <cols>
    <col min="1" max="1" width="15.7265625" bestFit="1" customWidth="1"/>
    <col min="2" max="2" width="19.26953125" bestFit="1" customWidth="1"/>
    <col min="6" max="6" width="12.36328125" bestFit="1" customWidth="1"/>
    <col min="7" max="7" width="19.26953125" bestFit="1" customWidth="1"/>
    <col min="8" max="8" width="12.36328125" bestFit="1" customWidth="1"/>
    <col min="9" max="9" width="16.36328125" bestFit="1" customWidth="1"/>
    <col min="10" max="10" width="19.26953125" bestFit="1" customWidth="1"/>
    <col min="11" max="11" width="11.81640625" bestFit="1" customWidth="1"/>
    <col min="12" max="12" width="10.81640625" bestFit="1" customWidth="1"/>
  </cols>
  <sheetData>
    <row r="3" spans="1:12" x14ac:dyDescent="0.35">
      <c r="A3" s="59" t="s">
        <v>534</v>
      </c>
      <c r="B3" s="59"/>
      <c r="C3" s="59"/>
      <c r="F3" s="59" t="s">
        <v>555</v>
      </c>
      <c r="G3" s="59"/>
      <c r="H3" s="59"/>
      <c r="I3" s="59"/>
      <c r="J3" s="59"/>
      <c r="K3" s="59"/>
      <c r="L3" s="59"/>
    </row>
    <row r="5" spans="1:12" x14ac:dyDescent="0.35">
      <c r="A5" s="5" t="s">
        <v>531</v>
      </c>
      <c r="B5" t="s">
        <v>533</v>
      </c>
      <c r="H5" s="5" t="s">
        <v>531</v>
      </c>
      <c r="I5" t="s">
        <v>536</v>
      </c>
      <c r="J5" t="s">
        <v>533</v>
      </c>
    </row>
    <row r="6" spans="1:12" x14ac:dyDescent="0.35">
      <c r="A6" s="4" t="s">
        <v>23</v>
      </c>
      <c r="B6">
        <v>6273772.084499998</v>
      </c>
      <c r="H6" s="4" t="s">
        <v>54</v>
      </c>
      <c r="I6">
        <v>46</v>
      </c>
      <c r="J6">
        <v>3250546.0256000008</v>
      </c>
    </row>
    <row r="7" spans="1:12" x14ac:dyDescent="0.35">
      <c r="A7" s="4" t="s">
        <v>44</v>
      </c>
      <c r="B7">
        <v>4613541.8208000008</v>
      </c>
      <c r="H7" s="4" t="s">
        <v>22</v>
      </c>
      <c r="I7">
        <v>74</v>
      </c>
      <c r="J7">
        <v>5497247.0625999998</v>
      </c>
    </row>
    <row r="8" spans="1:12" x14ac:dyDescent="0.35">
      <c r="A8" s="4" t="s">
        <v>50</v>
      </c>
      <c r="B8">
        <v>4211146.6922999993</v>
      </c>
      <c r="H8" s="4" t="s">
        <v>38</v>
      </c>
      <c r="I8">
        <v>63</v>
      </c>
      <c r="J8">
        <v>3681359.9381999997</v>
      </c>
    </row>
    <row r="9" spans="1:12" x14ac:dyDescent="0.35">
      <c r="A9" s="4" t="s">
        <v>33</v>
      </c>
      <c r="B9">
        <v>4663455.6309000012</v>
      </c>
      <c r="H9" s="4" t="s">
        <v>32</v>
      </c>
      <c r="I9">
        <v>48</v>
      </c>
      <c r="J9">
        <v>2951538.3359000003</v>
      </c>
    </row>
    <row r="10" spans="1:12" x14ac:dyDescent="0.35">
      <c r="A10" s="4" t="s">
        <v>532</v>
      </c>
      <c r="B10">
        <v>19761916.228500001</v>
      </c>
      <c r="H10" s="4" t="s">
        <v>81</v>
      </c>
      <c r="I10">
        <v>69</v>
      </c>
      <c r="J10">
        <v>4381224.8662</v>
      </c>
    </row>
    <row r="11" spans="1:12" x14ac:dyDescent="0.35">
      <c r="H11" s="4" t="s">
        <v>532</v>
      </c>
      <c r="I11">
        <v>300</v>
      </c>
      <c r="J11">
        <v>19761916.228500009</v>
      </c>
    </row>
    <row r="14" spans="1:12" x14ac:dyDescent="0.35">
      <c r="A14" s="59" t="s">
        <v>535</v>
      </c>
      <c r="B14" s="59"/>
      <c r="C14" s="59"/>
      <c r="D14" s="59"/>
      <c r="E14" s="59"/>
      <c r="H14" s="59" t="s">
        <v>556</v>
      </c>
      <c r="I14" s="59"/>
      <c r="J14" s="59"/>
      <c r="K14" s="59"/>
    </row>
    <row r="16" spans="1:12" x14ac:dyDescent="0.35">
      <c r="A16" s="5" t="s">
        <v>531</v>
      </c>
      <c r="B16" t="s">
        <v>533</v>
      </c>
      <c r="H16" s="5" t="s">
        <v>531</v>
      </c>
      <c r="I16" t="s">
        <v>536</v>
      </c>
    </row>
    <row r="17" spans="1:11" x14ac:dyDescent="0.35">
      <c r="A17" s="4" t="s">
        <v>45</v>
      </c>
      <c r="B17">
        <v>5804098.1852000002</v>
      </c>
      <c r="H17" s="4" t="s">
        <v>35</v>
      </c>
      <c r="I17">
        <v>98</v>
      </c>
    </row>
    <row r="18" spans="1:11" x14ac:dyDescent="0.35">
      <c r="A18" s="4" t="s">
        <v>24</v>
      </c>
      <c r="B18">
        <v>5482977.4264000002</v>
      </c>
      <c r="H18" s="4" t="s">
        <v>28</v>
      </c>
      <c r="I18">
        <v>106</v>
      </c>
    </row>
    <row r="19" spans="1:11" x14ac:dyDescent="0.35">
      <c r="A19" s="4" t="s">
        <v>532</v>
      </c>
      <c r="B19">
        <v>11287075.6116</v>
      </c>
      <c r="H19" s="4" t="s">
        <v>41</v>
      </c>
      <c r="I19">
        <v>96</v>
      </c>
    </row>
    <row r="20" spans="1:11" x14ac:dyDescent="0.35">
      <c r="H20" s="4" t="s">
        <v>532</v>
      </c>
      <c r="I20">
        <v>300</v>
      </c>
    </row>
    <row r="21" spans="1:11" x14ac:dyDescent="0.35">
      <c r="A21" s="59" t="s">
        <v>554</v>
      </c>
      <c r="B21" s="59"/>
      <c r="C21" s="59"/>
      <c r="D21" s="59"/>
    </row>
    <row r="22" spans="1:11" x14ac:dyDescent="0.35">
      <c r="G22" s="59" t="s">
        <v>557</v>
      </c>
      <c r="H22" s="59"/>
      <c r="I22" s="59"/>
      <c r="J22" s="59"/>
    </row>
    <row r="23" spans="1:11" x14ac:dyDescent="0.35">
      <c r="A23" s="5" t="s">
        <v>531</v>
      </c>
      <c r="B23" t="s">
        <v>533</v>
      </c>
    </row>
    <row r="24" spans="1:11" x14ac:dyDescent="0.35">
      <c r="A24" s="4" t="s">
        <v>168</v>
      </c>
      <c r="B24">
        <v>442753.67440000002</v>
      </c>
      <c r="G24" s="5" t="s">
        <v>533</v>
      </c>
      <c r="H24" s="5" t="s">
        <v>537</v>
      </c>
    </row>
    <row r="25" spans="1:11" x14ac:dyDescent="0.35">
      <c r="A25" s="4" t="s">
        <v>127</v>
      </c>
      <c r="B25">
        <v>421484.826</v>
      </c>
      <c r="G25" s="5" t="s">
        <v>531</v>
      </c>
      <c r="H25" t="s">
        <v>24</v>
      </c>
      <c r="I25" t="s">
        <v>39</v>
      </c>
      <c r="J25" t="s">
        <v>51</v>
      </c>
      <c r="K25" t="s">
        <v>45</v>
      </c>
    </row>
    <row r="26" spans="1:11" x14ac:dyDescent="0.35">
      <c r="A26" s="4" t="s">
        <v>158</v>
      </c>
      <c r="B26">
        <v>332329.2965</v>
      </c>
      <c r="G26" s="4" t="s">
        <v>23</v>
      </c>
      <c r="H26">
        <v>1737450.4574000004</v>
      </c>
      <c r="I26">
        <v>1113771.2148000002</v>
      </c>
      <c r="J26">
        <v>1079150.2989000001</v>
      </c>
      <c r="K26">
        <v>2343400.1134000006</v>
      </c>
    </row>
    <row r="27" spans="1:11" x14ac:dyDescent="0.35">
      <c r="A27" s="4" t="s">
        <v>83</v>
      </c>
      <c r="B27">
        <v>499807.66060000006</v>
      </c>
      <c r="G27" s="4" t="s">
        <v>44</v>
      </c>
      <c r="H27">
        <v>1308788.0754</v>
      </c>
      <c r="I27">
        <v>1056136.5803</v>
      </c>
      <c r="J27">
        <v>848549.94389999995</v>
      </c>
      <c r="K27">
        <v>1400067.2212</v>
      </c>
    </row>
    <row r="28" spans="1:11" x14ac:dyDescent="0.35">
      <c r="A28" s="4" t="s">
        <v>176</v>
      </c>
      <c r="B28">
        <v>358881.00839999999</v>
      </c>
      <c r="G28" s="4" t="s">
        <v>50</v>
      </c>
      <c r="H28">
        <v>900425.77480000013</v>
      </c>
      <c r="I28">
        <v>996369.90149999992</v>
      </c>
      <c r="J28">
        <v>1227796.8622000001</v>
      </c>
      <c r="K28">
        <v>1086554.1538</v>
      </c>
    </row>
    <row r="29" spans="1:11" x14ac:dyDescent="0.35">
      <c r="A29" s="4" t="s">
        <v>170</v>
      </c>
      <c r="B29">
        <v>340588.88280000002</v>
      </c>
      <c r="G29" s="4" t="s">
        <v>33</v>
      </c>
      <c r="H29">
        <v>1536313.1188000005</v>
      </c>
      <c r="I29">
        <v>853213.33370000008</v>
      </c>
      <c r="J29">
        <v>1299852.4815999998</v>
      </c>
      <c r="K29">
        <v>974076.69679999992</v>
      </c>
    </row>
    <row r="30" spans="1:11" x14ac:dyDescent="0.35">
      <c r="A30" s="4" t="s">
        <v>93</v>
      </c>
      <c r="B30">
        <v>397991.94800000003</v>
      </c>
      <c r="G30" s="4" t="s">
        <v>532</v>
      </c>
      <c r="H30">
        <v>5482977.4264000012</v>
      </c>
      <c r="I30">
        <v>4019491.0303000007</v>
      </c>
      <c r="J30">
        <v>4455349.5866</v>
      </c>
      <c r="K30">
        <v>5804098.1852000011</v>
      </c>
    </row>
    <row r="31" spans="1:11" x14ac:dyDescent="0.35">
      <c r="A31" s="4" t="s">
        <v>145</v>
      </c>
      <c r="B31">
        <v>361840.17359999998</v>
      </c>
    </row>
    <row r="32" spans="1:11" x14ac:dyDescent="0.35">
      <c r="A32" s="4" t="s">
        <v>70</v>
      </c>
      <c r="B32">
        <v>495056.06469999993</v>
      </c>
    </row>
    <row r="33" spans="1:2" x14ac:dyDescent="0.35">
      <c r="A33" s="4" t="s">
        <v>150</v>
      </c>
      <c r="B33">
        <v>407783.43700000003</v>
      </c>
    </row>
    <row r="34" spans="1:2" x14ac:dyDescent="0.35">
      <c r="A34" s="4" t="s">
        <v>532</v>
      </c>
      <c r="B34">
        <v>4058516.9719999996</v>
      </c>
    </row>
  </sheetData>
  <mergeCells count="6">
    <mergeCell ref="A3:C3"/>
    <mergeCell ref="A14:E14"/>
    <mergeCell ref="F3:L3"/>
    <mergeCell ref="G22:J22"/>
    <mergeCell ref="A21:D21"/>
    <mergeCell ref="H14:K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14A5-2253-418C-9001-75EA443EB373}">
  <sheetPr>
    <tabColor theme="5" tint="0.79998168889431442"/>
  </sheetPr>
  <dimension ref="A1:AC294"/>
  <sheetViews>
    <sheetView showGridLines="0" zoomScale="69" workbookViewId="0">
      <selection activeCell="AC7" sqref="AC7"/>
    </sheetView>
  </sheetViews>
  <sheetFormatPr defaultRowHeight="14.5" x14ac:dyDescent="0.35"/>
  <sheetData>
    <row r="1" spans="1:29" ht="31" x14ac:dyDescent="0.7">
      <c r="A1" s="37" t="s">
        <v>551</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row>
    <row r="2" spans="1:29"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row>
    <row r="3" spans="1:29" x14ac:dyDescent="0.35">
      <c r="A3" s="7"/>
      <c r="B3" s="7"/>
      <c r="C3" s="7"/>
      <c r="D3" s="7"/>
      <c r="E3" s="7"/>
      <c r="F3" s="7"/>
      <c r="G3" s="7"/>
      <c r="H3" s="7"/>
      <c r="I3" s="7"/>
      <c r="J3" s="7"/>
      <c r="K3" s="7"/>
      <c r="L3" s="7"/>
      <c r="M3" s="7"/>
      <c r="N3" s="7"/>
      <c r="O3" s="7"/>
      <c r="P3" s="7"/>
      <c r="Q3" s="7"/>
      <c r="R3" s="7"/>
      <c r="S3" s="7"/>
      <c r="T3" s="7"/>
      <c r="U3" s="7"/>
      <c r="V3" s="7"/>
      <c r="W3" s="7"/>
      <c r="X3" s="7"/>
      <c r="Y3" s="7"/>
      <c r="Z3" s="7"/>
      <c r="AA3" s="7"/>
      <c r="AB3" s="7"/>
      <c r="AC3" s="7"/>
    </row>
    <row r="4" spans="1:29"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row>
    <row r="5" spans="1:29"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row>
    <row r="6" spans="1:29"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row>
    <row r="7" spans="1:29"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row>
    <row r="8" spans="1:29"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row>
    <row r="9" spans="1:29"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row>
    <row r="10" spans="1:29"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spans="1:29"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spans="1:29"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spans="1:29"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spans="1:29"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spans="1:29"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spans="1:29"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spans="1:29"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spans="1:29"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spans="1:29"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spans="1:29"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spans="1:29"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spans="1:29"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spans="1:29"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spans="1:29"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spans="1:29"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spans="1:29"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spans="1:29"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spans="1:29"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spans="1:29"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spans="1:29"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spans="1:29"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spans="1:29"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spans="1:29"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row>
    <row r="56" spans="1:29"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spans="1:29"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spans="1:29"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spans="1:29"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spans="1:29"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row>
    <row r="61" spans="1:29"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spans="1:29"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spans="1:29"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spans="1:29"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spans="1:29"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spans="1:29"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row>
    <row r="67" spans="1:29"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row>
    <row r="68" spans="1:29"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row>
    <row r="69" spans="1:29"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row>
    <row r="70" spans="1:29"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row>
    <row r="71" spans="1:29"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row>
    <row r="72" spans="1:29"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row>
    <row r="73" spans="1:29"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row>
    <row r="74" spans="1:29"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row>
    <row r="75" spans="1:29" x14ac:dyDescent="0.3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spans="1:29" x14ac:dyDescent="0.3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spans="1:29" x14ac:dyDescent="0.3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spans="1:29" x14ac:dyDescent="0.3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spans="1:29" x14ac:dyDescent="0.3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spans="1:29" x14ac:dyDescent="0.3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spans="1:29" x14ac:dyDescent="0.3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spans="1:29" x14ac:dyDescent="0.3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spans="1:29" x14ac:dyDescent="0.3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spans="1:29" x14ac:dyDescent="0.3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spans="1:29" x14ac:dyDescent="0.3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spans="1:29" x14ac:dyDescent="0.3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spans="1:29" x14ac:dyDescent="0.3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spans="1:29" x14ac:dyDescent="0.3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spans="1:29" x14ac:dyDescent="0.3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spans="1:29" x14ac:dyDescent="0.3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spans="1:29" x14ac:dyDescent="0.3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spans="1:29" x14ac:dyDescent="0.3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spans="1:29" x14ac:dyDescent="0.3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spans="1:29" x14ac:dyDescent="0.3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spans="1:29" x14ac:dyDescent="0.3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spans="1:29" x14ac:dyDescent="0.3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spans="1:29" x14ac:dyDescent="0.3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spans="1:29" x14ac:dyDescent="0.3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spans="1:29" x14ac:dyDescent="0.3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spans="1:29"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spans="1:29"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spans="1:29"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spans="1:29"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spans="1:29"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spans="1:29"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spans="1:29"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spans="1:29"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spans="1:29"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spans="1:29"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spans="1:29"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spans="1:29"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spans="1:29"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spans="1:29"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spans="1:29"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spans="1:29"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spans="1:29"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spans="1:29"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spans="1:29"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spans="1:29"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spans="1:29"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spans="1:29"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spans="1:29"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spans="1:29"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spans="1:29"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spans="1:29"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spans="1:29"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spans="1:29"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spans="1:29"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spans="1:29"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spans="1:29"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spans="1:29"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spans="1:29"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spans="1:29"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spans="1:29"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spans="1:29"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spans="1:29"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spans="1:29"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spans="1:29"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spans="1:29"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spans="1:29"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spans="1:29"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spans="1:29"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spans="1:29"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spans="1:29"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spans="1:29"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spans="1:29"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spans="1:29"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spans="1:29"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spans="1:29"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spans="1:29"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spans="1:29"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spans="1:29"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spans="1:29"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spans="1:29"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spans="1:29"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spans="1:29"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spans="1:29"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spans="1:29"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spans="1:29"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spans="1:29"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spans="1:29"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spans="1:29"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spans="1:29"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spans="1:29"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spans="1:29"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spans="1:29"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spans="1:29"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spans="1:29"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spans="1:29"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spans="1:29"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spans="1:29"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spans="1:29"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spans="1:29"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spans="1:29"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spans="1:29"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spans="1:29"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spans="1:29"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spans="1:29"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spans="1:29"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spans="1:29"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spans="1:29"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spans="1:29"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spans="1:29"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spans="1:29"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spans="1:29"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spans="1:29"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spans="1:29"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spans="1:29"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spans="1:29"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spans="1:29"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spans="1:29"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spans="1:29"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spans="1:29"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spans="1:29"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spans="1:29"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spans="1:29"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spans="1:29"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spans="1:29"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spans="1:29"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spans="1:29"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spans="1:29"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spans="1:29"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spans="1:29"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spans="1:29"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spans="1:29"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spans="1:29"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spans="1:29"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spans="1:29"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spans="1:29"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spans="1:29"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spans="1:29"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spans="1:29"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spans="1:29"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spans="1:29"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spans="1:29"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spans="1:29"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spans="1:29"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spans="1:29"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spans="1:29"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spans="1:29"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spans="1:29"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spans="1:29"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spans="1:29"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spans="1:29"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spans="1:29"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spans="1:29"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spans="1:29"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spans="1:29"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spans="1:29"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spans="1:29"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spans="1:29"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spans="1:29"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spans="1:29"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spans="1:29"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spans="1:29"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spans="1:29"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spans="1:29"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spans="1:29"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spans="1:29"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spans="1:29"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spans="1:29"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spans="1:29"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spans="1:29"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spans="1:29"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spans="1:29"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spans="1:29"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spans="1:29"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spans="1:29"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spans="1:29"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spans="1:29"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spans="1:29"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spans="1:29"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spans="1:29"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spans="1:29"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spans="1:29"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spans="1:29"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spans="1:29"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spans="1:29"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spans="1:29"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spans="1:29"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spans="1:29"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spans="1:29"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spans="1:29"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spans="1:29"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spans="1:29"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spans="1:29"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spans="1:29"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spans="1:29"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spans="1:29"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spans="1:29"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spans="1:29"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spans="1:29"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spans="1:29"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spans="1:29"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spans="1:29" x14ac:dyDescent="0.35">
      <c r="A279" s="8"/>
      <c r="B279" s="8"/>
      <c r="C279" s="8"/>
      <c r="D279" s="8"/>
      <c r="E279" s="8"/>
      <c r="F279" s="8"/>
      <c r="G279" s="8"/>
      <c r="H279" s="8"/>
      <c r="I279" s="8"/>
      <c r="J279" s="8"/>
      <c r="K279" s="8"/>
      <c r="L279" s="8"/>
      <c r="M279" s="8"/>
      <c r="N279" s="8"/>
      <c r="O279" s="8"/>
      <c r="P279" s="8"/>
      <c r="Q279" s="8"/>
      <c r="R279" s="8"/>
      <c r="S279" s="8"/>
    </row>
    <row r="280" spans="1:29" x14ac:dyDescent="0.35">
      <c r="A280" s="8"/>
      <c r="B280" s="8"/>
      <c r="C280" s="8"/>
      <c r="D280" s="8"/>
      <c r="E280" s="8"/>
      <c r="F280" s="8"/>
      <c r="G280" s="8"/>
      <c r="H280" s="8"/>
      <c r="I280" s="8"/>
      <c r="J280" s="8"/>
      <c r="K280" s="8"/>
      <c r="L280" s="8"/>
      <c r="M280" s="8"/>
      <c r="N280" s="8"/>
      <c r="O280" s="8"/>
      <c r="P280" s="8"/>
      <c r="Q280" s="8"/>
      <c r="R280" s="8"/>
      <c r="S280" s="8"/>
    </row>
    <row r="281" spans="1:29" x14ac:dyDescent="0.35">
      <c r="A281" s="8"/>
      <c r="B281" s="8"/>
      <c r="C281" s="8"/>
      <c r="D281" s="8"/>
      <c r="E281" s="8"/>
      <c r="F281" s="8"/>
      <c r="G281" s="8"/>
      <c r="H281" s="8"/>
      <c r="I281" s="8"/>
      <c r="J281" s="8"/>
      <c r="K281" s="8"/>
      <c r="L281" s="8"/>
      <c r="M281" s="8"/>
      <c r="N281" s="8"/>
      <c r="O281" s="8"/>
      <c r="P281" s="8"/>
      <c r="Q281" s="8"/>
      <c r="R281" s="8"/>
      <c r="S281" s="8"/>
    </row>
    <row r="282" spans="1:29" x14ac:dyDescent="0.35">
      <c r="A282" s="8"/>
      <c r="B282" s="8"/>
      <c r="C282" s="8"/>
      <c r="D282" s="8"/>
      <c r="E282" s="8"/>
      <c r="F282" s="8"/>
      <c r="G282" s="8"/>
      <c r="H282" s="8"/>
      <c r="I282" s="8"/>
      <c r="J282" s="8"/>
      <c r="K282" s="8"/>
      <c r="L282" s="8"/>
      <c r="M282" s="8"/>
      <c r="N282" s="8"/>
      <c r="O282" s="8"/>
      <c r="P282" s="8"/>
      <c r="Q282" s="8"/>
      <c r="R282" s="8"/>
      <c r="S282" s="8"/>
    </row>
    <row r="283" spans="1:29" x14ac:dyDescent="0.35">
      <c r="A283" s="8"/>
      <c r="B283" s="8"/>
      <c r="C283" s="8"/>
      <c r="D283" s="8"/>
      <c r="E283" s="8"/>
      <c r="F283" s="8"/>
      <c r="G283" s="8"/>
      <c r="H283" s="8"/>
      <c r="I283" s="8"/>
      <c r="J283" s="8"/>
      <c r="K283" s="8"/>
      <c r="L283" s="8"/>
      <c r="M283" s="8"/>
      <c r="N283" s="8"/>
      <c r="O283" s="8"/>
      <c r="P283" s="8"/>
      <c r="Q283" s="8"/>
      <c r="R283" s="8"/>
      <c r="S283" s="8"/>
    </row>
    <row r="284" spans="1:29" x14ac:dyDescent="0.35">
      <c r="A284" s="8"/>
      <c r="B284" s="8"/>
      <c r="C284" s="8"/>
      <c r="D284" s="8"/>
      <c r="E284" s="8"/>
      <c r="F284" s="8"/>
      <c r="G284" s="8"/>
      <c r="H284" s="8"/>
      <c r="I284" s="8"/>
      <c r="J284" s="8"/>
      <c r="K284" s="8"/>
      <c r="L284" s="8"/>
      <c r="M284" s="8"/>
      <c r="N284" s="8"/>
      <c r="O284" s="8"/>
      <c r="P284" s="8"/>
      <c r="Q284" s="8"/>
      <c r="R284" s="8"/>
      <c r="S284" s="8"/>
    </row>
    <row r="285" spans="1:29" x14ac:dyDescent="0.35">
      <c r="A285" s="8"/>
      <c r="B285" s="8"/>
      <c r="C285" s="8"/>
      <c r="D285" s="8"/>
      <c r="E285" s="8"/>
      <c r="F285" s="8"/>
      <c r="G285" s="8"/>
      <c r="H285" s="8"/>
      <c r="I285" s="8"/>
      <c r="J285" s="8"/>
      <c r="K285" s="8"/>
      <c r="L285" s="8"/>
      <c r="M285" s="8"/>
      <c r="N285" s="8"/>
      <c r="O285" s="8"/>
      <c r="P285" s="8"/>
      <c r="Q285" s="8"/>
      <c r="R285" s="8"/>
      <c r="S285" s="8"/>
    </row>
    <row r="286" spans="1:29" x14ac:dyDescent="0.35">
      <c r="A286" s="8"/>
      <c r="B286" s="8"/>
      <c r="C286" s="8"/>
      <c r="D286" s="8"/>
      <c r="E286" s="8"/>
      <c r="F286" s="8"/>
      <c r="G286" s="8"/>
      <c r="H286" s="8"/>
      <c r="I286" s="8"/>
      <c r="J286" s="8"/>
      <c r="K286" s="8"/>
      <c r="L286" s="8"/>
      <c r="M286" s="8"/>
      <c r="N286" s="8"/>
      <c r="O286" s="8"/>
      <c r="P286" s="8"/>
      <c r="Q286" s="8"/>
      <c r="R286" s="8"/>
      <c r="S286" s="8"/>
    </row>
    <row r="287" spans="1:29" x14ac:dyDescent="0.35">
      <c r="A287" s="8"/>
      <c r="B287" s="8"/>
      <c r="C287" s="8"/>
      <c r="D287" s="8"/>
      <c r="E287" s="8"/>
      <c r="F287" s="8"/>
      <c r="G287" s="8"/>
      <c r="H287" s="8"/>
      <c r="I287" s="8"/>
      <c r="J287" s="8"/>
      <c r="K287" s="8"/>
      <c r="L287" s="8"/>
      <c r="M287" s="8"/>
      <c r="N287" s="8"/>
      <c r="O287" s="8"/>
      <c r="P287" s="8"/>
      <c r="Q287" s="8"/>
      <c r="R287" s="8"/>
      <c r="S287" s="8"/>
    </row>
    <row r="288" spans="1:29" x14ac:dyDescent="0.35">
      <c r="A288" s="8"/>
      <c r="B288" s="8"/>
      <c r="C288" s="8"/>
      <c r="D288" s="8"/>
      <c r="E288" s="8"/>
      <c r="F288" s="8"/>
      <c r="G288" s="8"/>
      <c r="H288" s="8"/>
      <c r="I288" s="8"/>
      <c r="J288" s="8"/>
      <c r="K288" s="8"/>
      <c r="L288" s="8"/>
      <c r="M288" s="8"/>
      <c r="N288" s="8"/>
      <c r="O288" s="8"/>
      <c r="P288" s="8"/>
      <c r="Q288" s="8"/>
      <c r="R288" s="8"/>
      <c r="S288" s="8"/>
    </row>
    <row r="289" spans="1:19" x14ac:dyDescent="0.35">
      <c r="A289" s="8"/>
      <c r="B289" s="8"/>
      <c r="C289" s="8"/>
      <c r="D289" s="8"/>
      <c r="E289" s="8"/>
      <c r="F289" s="8"/>
      <c r="G289" s="8"/>
      <c r="H289" s="8"/>
      <c r="I289" s="8"/>
      <c r="J289" s="8"/>
      <c r="K289" s="8"/>
      <c r="L289" s="8"/>
      <c r="M289" s="8"/>
      <c r="N289" s="8"/>
      <c r="O289" s="8"/>
      <c r="P289" s="8"/>
      <c r="Q289" s="8"/>
      <c r="R289" s="8"/>
      <c r="S289" s="8"/>
    </row>
    <row r="290" spans="1:19" x14ac:dyDescent="0.35">
      <c r="A290" s="8"/>
      <c r="B290" s="8"/>
      <c r="C290" s="8"/>
      <c r="D290" s="8"/>
      <c r="E290" s="8"/>
      <c r="F290" s="8"/>
      <c r="G290" s="8"/>
      <c r="H290" s="8"/>
      <c r="I290" s="8"/>
      <c r="J290" s="8"/>
      <c r="K290" s="8"/>
      <c r="L290" s="8"/>
      <c r="M290" s="8"/>
      <c r="N290" s="8"/>
      <c r="O290" s="8"/>
      <c r="P290" s="8"/>
      <c r="Q290" s="8"/>
      <c r="R290" s="8"/>
      <c r="S290" s="8"/>
    </row>
    <row r="291" spans="1:19" x14ac:dyDescent="0.35">
      <c r="A291" s="8"/>
      <c r="B291" s="8"/>
      <c r="C291" s="8"/>
      <c r="D291" s="8"/>
      <c r="E291" s="8"/>
      <c r="F291" s="8"/>
      <c r="G291" s="8"/>
      <c r="H291" s="8"/>
      <c r="I291" s="8"/>
      <c r="J291" s="8"/>
      <c r="K291" s="8"/>
      <c r="L291" s="8"/>
      <c r="M291" s="8"/>
      <c r="N291" s="8"/>
      <c r="O291" s="8"/>
      <c r="P291" s="8"/>
      <c r="Q291" s="8"/>
      <c r="R291" s="8"/>
      <c r="S291" s="8"/>
    </row>
    <row r="292" spans="1:19" x14ac:dyDescent="0.35">
      <c r="A292" s="8"/>
      <c r="B292" s="8"/>
      <c r="C292" s="8"/>
      <c r="D292" s="8"/>
      <c r="E292" s="8"/>
      <c r="F292" s="8"/>
      <c r="G292" s="8"/>
      <c r="H292" s="8"/>
      <c r="I292" s="8"/>
      <c r="J292" s="8"/>
      <c r="K292" s="8"/>
      <c r="L292" s="8"/>
      <c r="M292" s="8"/>
      <c r="N292" s="8"/>
      <c r="O292" s="8"/>
      <c r="P292" s="8"/>
      <c r="Q292" s="8"/>
      <c r="R292" s="8"/>
      <c r="S292" s="8"/>
    </row>
    <row r="293" spans="1:19" x14ac:dyDescent="0.35">
      <c r="A293" s="8"/>
      <c r="B293" s="8"/>
      <c r="C293" s="8"/>
      <c r="D293" s="8"/>
      <c r="E293" s="8"/>
      <c r="F293" s="8"/>
      <c r="G293" s="8"/>
      <c r="H293" s="8"/>
      <c r="I293" s="8"/>
      <c r="J293" s="8"/>
      <c r="K293" s="8"/>
      <c r="L293" s="8"/>
      <c r="M293" s="8"/>
      <c r="N293" s="8"/>
      <c r="O293" s="8"/>
      <c r="P293" s="8"/>
      <c r="Q293" s="8"/>
      <c r="R293" s="8"/>
      <c r="S293" s="8"/>
    </row>
    <row r="294" spans="1:19" x14ac:dyDescent="0.35">
      <c r="A294" s="8"/>
      <c r="B294" s="8"/>
      <c r="C294" s="8"/>
      <c r="D294" s="8"/>
      <c r="E294" s="8"/>
      <c r="F294" s="8"/>
      <c r="G294" s="8"/>
      <c r="H294" s="8"/>
      <c r="I294" s="8"/>
      <c r="J294" s="8"/>
      <c r="K294" s="8"/>
      <c r="L294" s="8"/>
      <c r="M294" s="8"/>
      <c r="N294" s="8"/>
      <c r="O294" s="8"/>
      <c r="P294" s="8"/>
      <c r="Q294" s="8"/>
      <c r="R294" s="8"/>
      <c r="S294" s="8"/>
    </row>
  </sheetData>
  <mergeCells count="1">
    <mergeCell ref="A1:AC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5598-1114-44B5-BC57-EDA7C7B789FC}">
  <dimension ref="A2:L39"/>
  <sheetViews>
    <sheetView zoomScale="84" zoomScaleNormal="100" workbookViewId="0">
      <selection activeCell="K13" sqref="K13"/>
    </sheetView>
  </sheetViews>
  <sheetFormatPr defaultRowHeight="14.5" x14ac:dyDescent="0.35"/>
  <cols>
    <col min="1" max="1" width="13.26953125" bestFit="1" customWidth="1"/>
    <col min="2" max="2" width="19.81640625" bestFit="1" customWidth="1"/>
    <col min="3" max="3" width="16.6328125" bestFit="1" customWidth="1"/>
    <col min="5" max="5" width="13.26953125" bestFit="1" customWidth="1"/>
    <col min="6" max="6" width="19.81640625" bestFit="1" customWidth="1"/>
    <col min="7" max="7" width="19.26953125" bestFit="1" customWidth="1"/>
    <col min="8" max="8" width="13.26953125" bestFit="1" customWidth="1"/>
    <col min="9" max="9" width="19.81640625" bestFit="1" customWidth="1"/>
    <col min="10" max="10" width="19.26953125" bestFit="1" customWidth="1"/>
    <col min="13" max="13" width="13.26953125" bestFit="1" customWidth="1"/>
    <col min="14" max="14" width="19.81640625" bestFit="1" customWidth="1"/>
    <col min="16" max="16" width="13.26953125" bestFit="1" customWidth="1"/>
    <col min="17" max="17" width="23.36328125" bestFit="1" customWidth="1"/>
    <col min="19" max="19" width="13.26953125" bestFit="1" customWidth="1"/>
    <col min="20" max="20" width="16" bestFit="1" customWidth="1"/>
    <col min="21" max="23" width="12.453125" bestFit="1" customWidth="1"/>
    <col min="25" max="25" width="12.36328125" bestFit="1" customWidth="1"/>
    <col min="26" max="26" width="15.26953125" bestFit="1" customWidth="1"/>
    <col min="27" max="27" width="9.81640625" bestFit="1" customWidth="1"/>
    <col min="28" max="29" width="8.81640625" bestFit="1" customWidth="1"/>
    <col min="30" max="30" width="10.81640625" bestFit="1" customWidth="1"/>
  </cols>
  <sheetData>
    <row r="2" spans="1:12" x14ac:dyDescent="0.35">
      <c r="H2" s="5" t="s">
        <v>531</v>
      </c>
      <c r="I2" t="s">
        <v>533</v>
      </c>
    </row>
    <row r="3" spans="1:12" x14ac:dyDescent="0.35">
      <c r="A3" s="5" t="s">
        <v>531</v>
      </c>
      <c r="B3" t="s">
        <v>533</v>
      </c>
      <c r="C3" t="s">
        <v>536</v>
      </c>
      <c r="E3" s="5" t="s">
        <v>531</v>
      </c>
      <c r="F3" t="s">
        <v>533</v>
      </c>
      <c r="H3" s="4" t="s">
        <v>35</v>
      </c>
      <c r="I3" s="9">
        <v>0.32788151277330985</v>
      </c>
    </row>
    <row r="4" spans="1:12" x14ac:dyDescent="0.35">
      <c r="A4" s="4" t="s">
        <v>539</v>
      </c>
      <c r="B4">
        <v>1705440.3977000001</v>
      </c>
      <c r="C4">
        <v>26</v>
      </c>
      <c r="E4" s="4" t="s">
        <v>525</v>
      </c>
      <c r="F4">
        <v>6554553.7282999987</v>
      </c>
      <c r="H4" s="10" t="s">
        <v>27</v>
      </c>
      <c r="I4" s="9">
        <v>0.17406210679808623</v>
      </c>
    </row>
    <row r="5" spans="1:12" x14ac:dyDescent="0.35">
      <c r="A5" s="4" t="s">
        <v>540</v>
      </c>
      <c r="B5">
        <v>1107629.7166000002</v>
      </c>
      <c r="C5">
        <v>19</v>
      </c>
      <c r="E5" s="4" t="s">
        <v>524</v>
      </c>
      <c r="F5">
        <v>9815584.9555999953</v>
      </c>
      <c r="H5" s="10" t="s">
        <v>34</v>
      </c>
      <c r="I5" s="9">
        <v>0.15381940597522362</v>
      </c>
    </row>
    <row r="6" spans="1:12" x14ac:dyDescent="0.35">
      <c r="A6" s="4" t="s">
        <v>541</v>
      </c>
      <c r="B6">
        <v>1473460.4857000005</v>
      </c>
      <c r="C6">
        <v>23</v>
      </c>
      <c r="E6" s="4" t="s">
        <v>526</v>
      </c>
      <c r="F6">
        <v>3391777.5445999997</v>
      </c>
      <c r="H6" s="4" t="s">
        <v>28</v>
      </c>
      <c r="I6" s="9">
        <v>0.33333912254925141</v>
      </c>
    </row>
    <row r="7" spans="1:12" x14ac:dyDescent="0.35">
      <c r="A7" s="4" t="s">
        <v>542</v>
      </c>
      <c r="B7">
        <v>1845567.6249999998</v>
      </c>
      <c r="C7">
        <v>28</v>
      </c>
      <c r="E7" s="4" t="s">
        <v>532</v>
      </c>
      <c r="F7">
        <v>19761916.228499994</v>
      </c>
      <c r="H7" s="10" t="s">
        <v>27</v>
      </c>
      <c r="I7" s="9">
        <v>0.15436710408682625</v>
      </c>
    </row>
    <row r="8" spans="1:12" x14ac:dyDescent="0.35">
      <c r="A8" s="4" t="s">
        <v>543</v>
      </c>
      <c r="B8">
        <v>2253097.7260000003</v>
      </c>
      <c r="C8">
        <v>30</v>
      </c>
      <c r="H8" s="10" t="s">
        <v>34</v>
      </c>
      <c r="I8" s="9">
        <v>0.17897201846242516</v>
      </c>
    </row>
    <row r="9" spans="1:12" x14ac:dyDescent="0.35">
      <c r="A9" s="4" t="s">
        <v>544</v>
      </c>
      <c r="B9">
        <v>2091856.5074000002</v>
      </c>
      <c r="C9">
        <v>28</v>
      </c>
      <c r="H9" s="4" t="s">
        <v>41</v>
      </c>
      <c r="I9" s="9">
        <v>0.33877936467743891</v>
      </c>
    </row>
    <row r="10" spans="1:12" x14ac:dyDescent="0.35">
      <c r="A10" s="4" t="s">
        <v>545</v>
      </c>
      <c r="B10">
        <v>1125588.1952</v>
      </c>
      <c r="C10">
        <v>16</v>
      </c>
      <c r="E10" s="5" t="s">
        <v>531</v>
      </c>
      <c r="F10" t="s">
        <v>536</v>
      </c>
      <c r="H10" s="10" t="s">
        <v>27</v>
      </c>
      <c r="I10" s="9">
        <v>0.13126867972746706</v>
      </c>
    </row>
    <row r="11" spans="1:12" x14ac:dyDescent="0.35">
      <c r="A11" s="4" t="s">
        <v>546</v>
      </c>
      <c r="B11">
        <v>1472815.7508000003</v>
      </c>
      <c r="C11">
        <v>21</v>
      </c>
      <c r="E11" s="4" t="s">
        <v>35</v>
      </c>
      <c r="F11">
        <v>98</v>
      </c>
      <c r="H11" s="10" t="s">
        <v>34</v>
      </c>
      <c r="I11" s="9">
        <v>0.20751068494997188</v>
      </c>
      <c r="L11" s="4"/>
    </row>
    <row r="12" spans="1:12" x14ac:dyDescent="0.35">
      <c r="A12" s="4" t="s">
        <v>547</v>
      </c>
      <c r="B12">
        <v>1153110.5637000001</v>
      </c>
      <c r="C12">
        <v>16</v>
      </c>
      <c r="E12" s="4" t="s">
        <v>28</v>
      </c>
      <c r="F12">
        <v>106</v>
      </c>
      <c r="H12" s="4" t="s">
        <v>532</v>
      </c>
      <c r="I12" s="9">
        <v>1</v>
      </c>
      <c r="L12" s="4"/>
    </row>
    <row r="13" spans="1:12" x14ac:dyDescent="0.35">
      <c r="A13" s="4" t="s">
        <v>548</v>
      </c>
      <c r="B13">
        <v>2276406.2121000006</v>
      </c>
      <c r="C13">
        <v>32</v>
      </c>
      <c r="E13" s="4" t="s">
        <v>41</v>
      </c>
      <c r="F13">
        <v>96</v>
      </c>
      <c r="L13" s="4"/>
    </row>
    <row r="14" spans="1:12" x14ac:dyDescent="0.35">
      <c r="A14" s="4" t="s">
        <v>549</v>
      </c>
      <c r="B14">
        <v>1457303.9493000002</v>
      </c>
      <c r="C14">
        <v>37</v>
      </c>
      <c r="E14" s="4" t="s">
        <v>532</v>
      </c>
      <c r="F14">
        <v>300</v>
      </c>
      <c r="L14" s="4"/>
    </row>
    <row r="15" spans="1:12" x14ac:dyDescent="0.35">
      <c r="A15" s="4" t="s">
        <v>550</v>
      </c>
      <c r="B15">
        <v>1799639.0990000004</v>
      </c>
      <c r="C15">
        <v>24</v>
      </c>
      <c r="H15" s="5" t="s">
        <v>531</v>
      </c>
      <c r="I15" t="s">
        <v>552</v>
      </c>
      <c r="L15" s="4"/>
    </row>
    <row r="16" spans="1:12" x14ac:dyDescent="0.35">
      <c r="E16" s="5" t="s">
        <v>531</v>
      </c>
      <c r="F16" t="s">
        <v>533</v>
      </c>
      <c r="H16" s="4" t="s">
        <v>539</v>
      </c>
      <c r="I16">
        <v>26</v>
      </c>
    </row>
    <row r="17" spans="1:9" x14ac:dyDescent="0.35">
      <c r="E17" s="4" t="s">
        <v>54</v>
      </c>
      <c r="F17">
        <v>3250546.0256000008</v>
      </c>
      <c r="H17" s="4" t="s">
        <v>540</v>
      </c>
      <c r="I17">
        <v>19</v>
      </c>
    </row>
    <row r="18" spans="1:9" x14ac:dyDescent="0.35">
      <c r="E18" s="4" t="s">
        <v>22</v>
      </c>
      <c r="F18">
        <v>5497247.0625999998</v>
      </c>
      <c r="H18" s="4" t="s">
        <v>541</v>
      </c>
      <c r="I18">
        <v>23</v>
      </c>
    </row>
    <row r="19" spans="1:9" x14ac:dyDescent="0.35">
      <c r="E19" s="4" t="s">
        <v>38</v>
      </c>
      <c r="F19">
        <v>3681359.9381999997</v>
      </c>
      <c r="H19" s="4" t="s">
        <v>542</v>
      </c>
      <c r="I19">
        <v>28</v>
      </c>
    </row>
    <row r="20" spans="1:9" x14ac:dyDescent="0.35">
      <c r="E20" s="4" t="s">
        <v>32</v>
      </c>
      <c r="F20">
        <v>2951538.3359000003</v>
      </c>
      <c r="H20" s="4" t="s">
        <v>543</v>
      </c>
      <c r="I20">
        <v>30</v>
      </c>
    </row>
    <row r="21" spans="1:9" x14ac:dyDescent="0.35">
      <c r="E21" s="4" t="s">
        <v>81</v>
      </c>
      <c r="F21">
        <v>4381224.8662</v>
      </c>
      <c r="H21" s="4" t="s">
        <v>544</v>
      </c>
      <c r="I21">
        <v>28</v>
      </c>
    </row>
    <row r="22" spans="1:9" x14ac:dyDescent="0.35">
      <c r="H22" s="4" t="s">
        <v>545</v>
      </c>
      <c r="I22">
        <v>16</v>
      </c>
    </row>
    <row r="23" spans="1:9" x14ac:dyDescent="0.35">
      <c r="H23" s="4" t="s">
        <v>546</v>
      </c>
      <c r="I23">
        <v>21</v>
      </c>
    </row>
    <row r="24" spans="1:9" x14ac:dyDescent="0.35">
      <c r="H24" s="4" t="s">
        <v>547</v>
      </c>
      <c r="I24">
        <v>16</v>
      </c>
    </row>
    <row r="25" spans="1:9" x14ac:dyDescent="0.35">
      <c r="H25" s="4" t="s">
        <v>548</v>
      </c>
      <c r="I25">
        <v>32</v>
      </c>
    </row>
    <row r="26" spans="1:9" x14ac:dyDescent="0.35">
      <c r="A26" s="5" t="s">
        <v>553</v>
      </c>
      <c r="B26" s="5" t="s">
        <v>537</v>
      </c>
      <c r="H26" s="4" t="s">
        <v>549</v>
      </c>
      <c r="I26">
        <v>37</v>
      </c>
    </row>
    <row r="27" spans="1:9" x14ac:dyDescent="0.35">
      <c r="A27" s="5" t="s">
        <v>531</v>
      </c>
      <c r="B27" t="s">
        <v>45</v>
      </c>
      <c r="C27" t="s">
        <v>51</v>
      </c>
      <c r="D27" t="s">
        <v>39</v>
      </c>
      <c r="E27" t="s">
        <v>24</v>
      </c>
      <c r="H27" s="4" t="s">
        <v>550</v>
      </c>
      <c r="I27">
        <v>24</v>
      </c>
    </row>
    <row r="28" spans="1:9" x14ac:dyDescent="0.35">
      <c r="A28" s="4" t="s">
        <v>539</v>
      </c>
      <c r="B28">
        <v>-16610.719300000044</v>
      </c>
      <c r="C28">
        <v>-35902.066500000001</v>
      </c>
      <c r="D28">
        <v>20802.527599999998</v>
      </c>
      <c r="E28">
        <v>-22447.664100000038</v>
      </c>
      <c r="H28" s="4" t="s">
        <v>532</v>
      </c>
      <c r="I28">
        <v>300</v>
      </c>
    </row>
    <row r="29" spans="1:9" x14ac:dyDescent="0.35">
      <c r="A29" s="4" t="s">
        <v>540</v>
      </c>
      <c r="B29">
        <v>-374.48899999999776</v>
      </c>
      <c r="C29">
        <v>12170.901899999999</v>
      </c>
      <c r="D29">
        <v>24969.750299999992</v>
      </c>
      <c r="E29">
        <v>32021.213400000008</v>
      </c>
    </row>
    <row r="30" spans="1:9" x14ac:dyDescent="0.35">
      <c r="A30" s="4" t="s">
        <v>541</v>
      </c>
      <c r="B30">
        <v>3784.315599999989</v>
      </c>
      <c r="C30">
        <v>-1649.250700000026</v>
      </c>
      <c r="D30">
        <v>17250.36960000002</v>
      </c>
      <c r="E30">
        <v>-25175.468800000006</v>
      </c>
    </row>
    <row r="31" spans="1:9" x14ac:dyDescent="0.35">
      <c r="A31" s="4" t="s">
        <v>542</v>
      </c>
      <c r="B31">
        <v>7485.1945999999916</v>
      </c>
      <c r="C31">
        <v>-17636.706800000007</v>
      </c>
      <c r="D31">
        <v>10722.656099999956</v>
      </c>
      <c r="E31">
        <v>12263.92109999998</v>
      </c>
    </row>
    <row r="32" spans="1:9" x14ac:dyDescent="0.35">
      <c r="A32" s="4" t="s">
        <v>543</v>
      </c>
      <c r="B32">
        <v>-29033.433499999985</v>
      </c>
      <c r="C32">
        <v>3610.3329999999951</v>
      </c>
      <c r="D32">
        <v>-14109.453799999959</v>
      </c>
      <c r="E32">
        <v>56854.190300000075</v>
      </c>
    </row>
    <row r="33" spans="1:5" x14ac:dyDescent="0.35">
      <c r="A33" s="4" t="s">
        <v>544</v>
      </c>
      <c r="B33">
        <v>15617.033499999994</v>
      </c>
      <c r="C33">
        <v>29671.468600000026</v>
      </c>
      <c r="D33">
        <v>-20719.604799999972</v>
      </c>
      <c r="E33">
        <v>25641.14010000007</v>
      </c>
    </row>
    <row r="34" spans="1:5" x14ac:dyDescent="0.35">
      <c r="A34" s="4" t="s">
        <v>545</v>
      </c>
      <c r="B34">
        <v>-13743.792000000005</v>
      </c>
      <c r="C34">
        <v>-17575.291999999983</v>
      </c>
      <c r="D34">
        <v>16614.74950000002</v>
      </c>
      <c r="E34">
        <v>-430.75030000000152</v>
      </c>
    </row>
    <row r="35" spans="1:5" x14ac:dyDescent="0.35">
      <c r="A35" s="4" t="s">
        <v>546</v>
      </c>
      <c r="B35">
        <v>16578.288499999981</v>
      </c>
      <c r="C35">
        <v>-3971.2898999999952</v>
      </c>
      <c r="D35">
        <v>18.936600000037288</v>
      </c>
      <c r="E35">
        <v>14104.795599999987</v>
      </c>
    </row>
    <row r="36" spans="1:5" x14ac:dyDescent="0.35">
      <c r="A36" s="4" t="s">
        <v>547</v>
      </c>
      <c r="B36">
        <v>-3650.6370000000024</v>
      </c>
      <c r="C36">
        <v>-4866.9036000000015</v>
      </c>
      <c r="D36">
        <v>6268.713099999939</v>
      </c>
      <c r="E36">
        <v>-2519.768799999998</v>
      </c>
    </row>
    <row r="37" spans="1:5" x14ac:dyDescent="0.35">
      <c r="A37" s="4" t="s">
        <v>548</v>
      </c>
      <c r="B37">
        <v>-3885.6436999999896</v>
      </c>
      <c r="C37">
        <v>-55162.579100000046</v>
      </c>
      <c r="D37">
        <v>-5249.3038999999881</v>
      </c>
      <c r="E37">
        <v>4039.8487999999634</v>
      </c>
    </row>
    <row r="38" spans="1:5" x14ac:dyDescent="0.35">
      <c r="A38" s="4" t="s">
        <v>549</v>
      </c>
      <c r="B38">
        <v>-14237.729399999997</v>
      </c>
      <c r="C38">
        <v>1586.2484000000222</v>
      </c>
      <c r="D38">
        <v>-35.251299999996263</v>
      </c>
      <c r="E38">
        <v>23082.651600000019</v>
      </c>
    </row>
    <row r="39" spans="1:5" x14ac:dyDescent="0.35">
      <c r="A39" s="4" t="s">
        <v>550</v>
      </c>
      <c r="B39">
        <v>24983.216900000047</v>
      </c>
      <c r="C39">
        <v>-24587.29669999997</v>
      </c>
      <c r="D39">
        <v>5960.251299999989</v>
      </c>
      <c r="E39">
        <v>-20961.502500000031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 data</vt:lpstr>
      <vt:lpstr>sales_data</vt:lpstr>
      <vt:lpstr>Functions</vt:lpstr>
      <vt:lpstr>Sort n filter</vt:lpstr>
      <vt:lpstr>Conditional Formating</vt:lpstr>
      <vt:lpstr>lookups and indexmatch</vt:lpstr>
      <vt:lpstr>Pivot Tables</vt:lpstr>
      <vt:lpstr>Visualization</vt:lpstr>
      <vt:lpstr>Pivot Table for pivot Chart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Anwesha Mondal</cp:lastModifiedBy>
  <dcterms:created xsi:type="dcterms:W3CDTF">2026-02-06T09:07:34Z</dcterms:created>
  <dcterms:modified xsi:type="dcterms:W3CDTF">2026-02-12T17:40:50Z</dcterms:modified>
</cp:coreProperties>
</file>